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Fonds propres" sheetId="3" state="visible" r:id="rId5"/>
    <sheet name="Avec det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<sst xmlns="http://schemas.openxmlformats.org/spreadsheetml/2006/main" count="191" uniqueCount="148">
  <si>
    <t xml:space="preserve">Synthèse – Investissement locatif à Paris : fonds propres vs dette</t>
  </si>
  <si>
    <t xml:space="preserve">Toutes les valeurs sont calculées à partir des feuilles Hypothèses et Projection.</t>
  </si>
  <si>
    <t xml:space="preserve">Indicateur</t>
  </si>
  <si>
    <t xml:space="preserve">100% fonds propres</t>
  </si>
  <si>
    <t xml:space="preserve">Avec dette</t>
  </si>
  <si>
    <t xml:space="preserve">Opération</t>
  </si>
  <si>
    <t xml:space="preserve">Prix d'achat</t>
  </si>
  <si>
    <t xml:space="preserve">Coût total (prix + notaire + travaux)</t>
  </si>
  <si>
    <t xml:space="preserve">Emprunt</t>
  </si>
  <si>
    <t xml:space="preserve">Apport (fonds propres investis)</t>
  </si>
  <si>
    <t xml:space="preserve">Mensualité crédit (hors assurance)</t>
  </si>
  <si>
    <t xml:space="preserve">Rendements du bien (avant financement)</t>
  </si>
  <si>
    <t xml:space="preserve">Rendement brut (loyer annuel / prix)</t>
  </si>
  <si>
    <t xml:space="preserve">Rendement net (NOI an 1 / coût total)</t>
  </si>
  <si>
    <t xml:space="preserve">Année 1</t>
  </si>
  <si>
    <t xml:space="preserve">Cash-flow après impôt (annuel)</t>
  </si>
  <si>
    <t xml:space="preserve">Cash-flow après impôt (mensuel)  = effort d'épargne si négatif</t>
  </si>
  <si>
    <t xml:space="preserve">Rendement sur fonds propres an 1 (cash-flow / apport)</t>
  </si>
  <si>
    <t xml:space="preserve">Sur la durée de détention</t>
  </si>
  <si>
    <t xml:space="preserve">Horizon (années)</t>
  </si>
  <si>
    <t xml:space="preserve">Prix de revente</t>
  </si>
  <si>
    <t xml:space="preserve">Produit net de cession (après dette, frais, impôt PV)</t>
  </si>
  <si>
    <t xml:space="preserve">Somme des cash-flows après impôt</t>
  </si>
  <si>
    <t xml:space="preserve">Gain net total pour l'investisseur</t>
  </si>
  <si>
    <t xml:space="preserve">Multiple du capital investi (x)</t>
  </si>
  <si>
    <t xml:space="preserve">TRI net annuel de l'investisseur</t>
  </si>
  <si>
    <t xml:space="preserve">Effet de levier (TRI avec dette – TRI fonds propres)</t>
  </si>
  <si>
    <t xml:space="preserve">Lecture : la dette améliore le TRI uniquement si le rendement du bien (loyers + valorisation) dépasse le coût du crédit ; elle augmente aussi le risque (effort d'épargne mensuel).</t>
  </si>
  <si>
    <t xml:space="preserve">Investissement locatif à Paris – Hypothèses</t>
  </si>
  <si>
    <t xml:space="preserve">Cellules en bleu = hypothèses modifiables (jaune = leviers clés). Colonne C reprend B par défaut (formule en noir) sauf pour le financement.</t>
  </si>
  <si>
    <t xml:space="preserve">Paramètre</t>
  </si>
  <si>
    <t xml:space="preserve">1) 100% fonds propres</t>
  </si>
  <si>
    <t xml:space="preserve">2) Avec dette</t>
  </si>
  <si>
    <t xml:space="preserve">Commentaire / source</t>
  </si>
  <si>
    <t xml:space="preserve">Le bien</t>
  </si>
  <si>
    <t xml:space="preserve">Surface (m²)</t>
  </si>
  <si>
    <t xml:space="preserve">Studio / 2 pièces type, hypothèse</t>
  </si>
  <si>
    <t xml:space="preserve">Prix d'achat (€/m²)</t>
  </si>
  <si>
    <t xml:space="preserve">Ordre de grandeur marché Paris ancien (~9 500–10 500 €/m²) – à ajuster</t>
  </si>
  <si>
    <t xml:space="preserve">Frais de notaire (% du prix)</t>
  </si>
  <si>
    <t xml:space="preserve">Ancien : ~7,5 % (droits + émoluments)</t>
  </si>
  <si>
    <t xml:space="preserve">Frais de notaire</t>
  </si>
  <si>
    <t xml:space="preserve">Travaux + ameublement</t>
  </si>
  <si>
    <t xml:space="preserve">Mobilier et rafraîchissement pour location meublée (LMNP)</t>
  </si>
  <si>
    <t xml:space="preserve">Coût total de l'opération</t>
  </si>
  <si>
    <t xml:space="preserve">Financement</t>
  </si>
  <si>
    <t xml:space="preserve">Part du coût total financée par emprunt</t>
  </si>
  <si>
    <t xml:space="preserve">Scénario 1 : 0 % / Scénario 2 : 80 % (apport ≥ 20 %)</t>
  </si>
  <si>
    <t xml:space="preserve">Montant emprunté</t>
  </si>
  <si>
    <t xml:space="preserve">Taux d'intérêt nominal</t>
  </si>
  <si>
    <t xml:space="preserve">Ordre de grandeur taux crédit immo 25 ans (≈3,0–3,6 %) – à ajuster</t>
  </si>
  <si>
    <t xml:space="preserve">Durée du prêt (années)</t>
  </si>
  <si>
    <t xml:space="preserve">Amortissable, taux fixe</t>
  </si>
  <si>
    <t xml:space="preserve">Assurance emprunteur (% capital initial / an)</t>
  </si>
  <si>
    <t xml:space="preserve">≈0,30 % du capital initial</t>
  </si>
  <si>
    <t xml:space="preserve">Frais de dossier + garantie (% emprunt)</t>
  </si>
  <si>
    <t xml:space="preserve">Caution type Crédit Logement + dossier, ≈1,2 %</t>
  </si>
  <si>
    <t xml:space="preserve">Apport personnel (fonds propres investis)</t>
  </si>
  <si>
    <t xml:space="preserve">Coût total – emprunt + frais de garantie</t>
  </si>
  <si>
    <t xml:space="preserve">Mensualité hors assurance</t>
  </si>
  <si>
    <t xml:space="preserve">Revenus locatifs (meublé)</t>
  </si>
  <si>
    <t xml:space="preserve">Loyer mensuel hors charges (€/m²)</t>
  </si>
  <si>
    <t xml:space="preserve">Meublé Paris petite surface ≈ 30–38 €/m² (respecter l'encadrement des loyers)</t>
  </si>
  <si>
    <t xml:space="preserve">Loyer mensuel</t>
  </si>
  <si>
    <t xml:space="preserve">Vacance locative (% des loyers)</t>
  </si>
  <si>
    <t xml:space="preserve">≈ 2 semaines / an</t>
  </si>
  <si>
    <t xml:space="preserve">Revalorisation annuelle des loyers</t>
  </si>
  <si>
    <t xml:space="preserve">Indexation type IRL, prudente</t>
  </si>
  <si>
    <t xml:space="preserve">Charges d'exploitation (année 1)</t>
  </si>
  <si>
    <t xml:space="preserve">Charges de copropriété non récupérables (€/an)</t>
  </si>
  <si>
    <t xml:space="preserve">≈ 30 €/m²</t>
  </si>
  <si>
    <t xml:space="preserve">Taxe foncière (€/an)</t>
  </si>
  <si>
    <t xml:space="preserve">Paris, taux faible (≈ 25 €/m²)</t>
  </si>
  <si>
    <t xml:space="preserve">Assurance PNO (€/an)</t>
  </si>
  <si>
    <t xml:space="preserve">Entretien / réparations (€/an)</t>
  </si>
  <si>
    <t xml:space="preserve">Expert-comptable LMNP + CFE (€/an)</t>
  </si>
  <si>
    <t xml:space="preserve">Régime réel</t>
  </si>
  <si>
    <t xml:space="preserve">Gestion locative (% des loyers encaissés)</t>
  </si>
  <si>
    <t xml:space="preserve">Agence ≈ 6–8 % TTC (0 % si autogéré)</t>
  </si>
  <si>
    <t xml:space="preserve">Inflation des charges</t>
  </si>
  <si>
    <t xml:space="preserve">Fiscalité (LMNP régime réel simplifié)</t>
  </si>
  <si>
    <t xml:space="preserve">Tranche marginale d'imposition (TMI)</t>
  </si>
  <si>
    <t xml:space="preserve">À adapter à l'investisseur</t>
  </si>
  <si>
    <t xml:space="preserve">Prélèvements sociaux</t>
  </si>
  <si>
    <t xml:space="preserve">17,2 %</t>
  </si>
  <si>
    <t xml:space="preserve">Part amortissable du prix (hors terrain)</t>
  </si>
  <si>
    <t xml:space="preserve">Hypothèse usuelle 80–90 %</t>
  </si>
  <si>
    <t xml:space="preserve">Durée d'amortissement du bâti (ans)</t>
  </si>
  <si>
    <t xml:space="preserve">Durée d'amortissement travaux/mobilier (ans)</t>
  </si>
  <si>
    <t xml:space="preserve">Simplifications : déficits reportables sans limite, frais de notaire non amortis (prudent), pas de plafond de micro-BIC.</t>
  </si>
  <si>
    <t xml:space="preserve">Sortie (revente)</t>
  </si>
  <si>
    <t xml:space="preserve">Horizon de détention / année de revente</t>
  </si>
  <si>
    <t xml:space="preserve">Entre 1 et 25</t>
  </si>
  <si>
    <t xml:space="preserve">Appréciation annuelle du prix</t>
  </si>
  <si>
    <t xml:space="preserve">Hypothèse prudente long terme (≈ inflation)</t>
  </si>
  <si>
    <t xml:space="preserve">Frais de vente (% du prix)</t>
  </si>
  <si>
    <t xml:space="preserve">Agence + diagnostics</t>
  </si>
  <si>
    <t xml:space="preserve">Taux IR sur plus-value</t>
  </si>
  <si>
    <t xml:space="preserve">Abattement durée de détention – IR</t>
  </si>
  <si>
    <t xml:space="preserve">6 %/an de la 6e à la 21e année, exonération à 22 ans</t>
  </si>
  <si>
    <t xml:space="preserve">Abattement durée de détention – PS</t>
  </si>
  <si>
    <t xml:space="preserve">1,65 %/an (6–21e), 28 % à 22 ans, +9 %/an ensuite</t>
  </si>
  <si>
    <t xml:space="preserve">Réintégrer les amortissements dans la plus-value (1 = oui)</t>
  </si>
  <si>
    <t xml:space="preserve">Règle LMNP depuis la loi de finances 2025 (prudent)</t>
  </si>
  <si>
    <t xml:space="preserve">Projection – Fonds propres</t>
  </si>
  <si>
    <t xml:space="preserve">Montants en € ; flux de l'investisseur calculés jusqu'à l'année de revente (colonnes au-delà de l'horizon grisées).</t>
  </si>
  <si>
    <t xml:space="preserve">Année</t>
  </si>
  <si>
    <t xml:space="preserve">Année détenue (1 = oui)</t>
  </si>
  <si>
    <t xml:space="preserve">REVENUS LOCATIFS</t>
  </si>
  <si>
    <t xml:space="preserve">Loyer brut</t>
  </si>
  <si>
    <t xml:space="preserve">Vacance locative</t>
  </si>
  <si>
    <t xml:space="preserve">Loyers encaissés</t>
  </si>
  <si>
    <t xml:space="preserve">CHARGES D'EXPLOITATION</t>
  </si>
  <si>
    <t xml:space="preserve">Copropriété non récupérable</t>
  </si>
  <si>
    <t xml:space="preserve">Taxe foncière</t>
  </si>
  <si>
    <t xml:space="preserve">Assurance PNO</t>
  </si>
  <si>
    <t xml:space="preserve">Entretien</t>
  </si>
  <si>
    <t xml:space="preserve">Comptabilité / CFE</t>
  </si>
  <si>
    <t xml:space="preserve">Gestion locative</t>
  </si>
  <si>
    <t xml:space="preserve">Total charges</t>
  </si>
  <si>
    <t xml:space="preserve">Résultat d'exploitation (NOI)</t>
  </si>
  <si>
    <t xml:space="preserve">FINANCEMENT</t>
  </si>
  <si>
    <t xml:space="preserve">Intérêts</t>
  </si>
  <si>
    <t xml:space="preserve">Assurance emprunt</t>
  </si>
  <si>
    <t xml:space="preserve">Remboursement du capital</t>
  </si>
  <si>
    <t xml:space="preserve">Capital restant dû (fin d'année)</t>
  </si>
  <si>
    <t xml:space="preserve">FISCALITÉ LMNP RÉEL</t>
  </si>
  <si>
    <t xml:space="preserve">Amortissements déduits</t>
  </si>
  <si>
    <t xml:space="preserve">Résultat fiscal avant déficits</t>
  </si>
  <si>
    <t xml:space="preserve">Déficit reporté (début)</t>
  </si>
  <si>
    <t xml:space="preserve">Base imposable</t>
  </si>
  <si>
    <t xml:space="preserve">Déficit reporté (fin)</t>
  </si>
  <si>
    <t xml:space="preserve">Impôt (IR + PS)</t>
  </si>
  <si>
    <t xml:space="preserve">CASH-FLOW</t>
  </si>
  <si>
    <t xml:space="preserve">Cash-flow avant impôt (après dette)</t>
  </si>
  <si>
    <t xml:space="preserve">Cash-flow après impôt</t>
  </si>
  <si>
    <t xml:space="preserve">SORTIE (REVENTE)</t>
  </si>
  <si>
    <t xml:space="preserve">Prix de vente</t>
  </si>
  <si>
    <t xml:space="preserve">Frais de vente</t>
  </si>
  <si>
    <t xml:space="preserve">Remboursement du capital restant dû</t>
  </si>
  <si>
    <t xml:space="preserve">Amortissements cumulés</t>
  </si>
  <si>
    <t xml:space="preserve">Plus-value imposable</t>
  </si>
  <si>
    <t xml:space="preserve">Impôt sur plus-value</t>
  </si>
  <si>
    <t xml:space="preserve">Produit net de cession</t>
  </si>
  <si>
    <t xml:space="preserve">FLUX INVESTISSEUR</t>
  </si>
  <si>
    <t xml:space="preserve">Flux net (année 0 = apport)</t>
  </si>
  <si>
    <t xml:space="preserve">Flux cumulés</t>
  </si>
  <si>
    <t xml:space="preserve">Projection – Avec dette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</si>
</sst>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€&quot;;\(#,##0&quot; €)&quot;;\-"/>
    <numFmt numFmtId="166" formatCode="0.00%"/>
    <numFmt numFmtId="167" formatCode="0"/>
    <numFmt numFmtId="168" formatCode="0.00\x"/>
    <numFmt numFmtId="169" formatCode="0.00%;\(0.00%\)"/>
    <numFmt numFmtId="170" formatCode="#,##0"/>
    <numFmt numFmtId="171" formatCode="0.0%;\(0.0%\);\-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Flux cumulés de l'investisseur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"100% fonds propres"</c:f>
              <c:strCache>
                <c:ptCount val="1"/>
                <c:pt idx="0">
                  <c:v>100% fonds propres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'Fonds propres'!$B$3:$AA$3</c:f>
              <c:multiLvlStrCache>
                <c:ptCount val="1"/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'Fonds propres'!$B$43:$AA$43</c:f>
              <c:numCache>
                <c:formatCode>#,##0" €";\(#,##0" €)";\-</c:formatCode>
                <c:ptCount val="26"/>
                <c:pt idx="0">
                  <c:v>-440000</c:v>
                </c:pt>
                <c:pt idx="1">
                  <c:v>-430176.120576</c:v>
                </c:pt>
                <c:pt idx="2">
                  <c:v>-420281.64696064</c:v>
                </c:pt>
                <c:pt idx="3">
                  <c:v>-410315.71032105</c:v>
                </c:pt>
                <c:pt idx="4">
                  <c:v>-400277.432593465</c:v>
                </c:pt>
                <c:pt idx="5">
                  <c:v>-390165.926420799</c:v>
                </c:pt>
                <c:pt idx="6">
                  <c:v>-379980.295090792</c:v>
                </c:pt>
                <c:pt idx="7">
                  <c:v>-369719.632474788</c:v>
                </c:pt>
                <c:pt idx="8">
                  <c:v>-359383.022967177</c:v>
                </c:pt>
                <c:pt idx="9">
                  <c:v>-348969.541425537</c:v>
                </c:pt>
                <c:pt idx="10">
                  <c:v>-338478.253111529</c:v>
                </c:pt>
                <c:pt idx="11">
                  <c:v>-328380.213632584</c:v>
                </c:pt>
                <c:pt idx="12">
                  <c:v>-318202.468884422</c:v>
                </c:pt>
                <c:pt idx="13">
                  <c:v>-307944.054994464</c:v>
                </c:pt>
                <c:pt idx="14">
                  <c:v>-297603.998266173</c:v>
                </c:pt>
                <c:pt idx="15">
                  <c:v>-287181.315124373</c:v>
                </c:pt>
                <c:pt idx="16">
                  <c:v>-276675.01206161</c:v>
                </c:pt>
                <c:pt idx="17">
                  <c:v>-266084.085585593</c:v>
                </c:pt>
                <c:pt idx="18">
                  <c:v>-255407.522167777</c:v>
                </c:pt>
                <c:pt idx="19">
                  <c:v>-244644.298193142</c:v>
                </c:pt>
                <c:pt idx="20">
                  <c:v>243739.586173062</c:v>
                </c:pt>
                <c:pt idx="21">
                  <c:v>243739.586173062</c:v>
                </c:pt>
                <c:pt idx="22">
                  <c:v>243739.586173062</c:v>
                </c:pt>
                <c:pt idx="23">
                  <c:v>243739.586173062</c:v>
                </c:pt>
                <c:pt idx="24">
                  <c:v>243739.586173062</c:v>
                </c:pt>
                <c:pt idx="25">
                  <c:v>243739.586173062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"Avec dette"</c:f>
              <c:strCache>
                <c:ptCount val="1"/>
                <c:pt idx="0">
                  <c:v>Avec dette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'Fonds propres'!$B$3:$AA$3</c:f>
              <c:multiLvlStrCache>
                <c:ptCount val="1"/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'Avec dette'!$B$43:$AA$43</c:f>
              <c:numCache>
                <c:formatCode>#,##0" €";\(#,##0" €)";\-</c:formatCode>
                <c:ptCount val="26"/>
                <c:pt idx="0">
                  <c:v>-92224</c:v>
                </c:pt>
                <c:pt idx="1">
                  <c:v>-103862.568572577</c:v>
                </c:pt>
                <c:pt idx="2">
                  <c:v>-115367.436025154</c:v>
                </c:pt>
                <c:pt idx="3">
                  <c:v>-126736.956840932</c:v>
                </c:pt>
                <c:pt idx="4">
                  <c:v>-137969.468020357</c:v>
                </c:pt>
                <c:pt idx="5">
                  <c:v>-149063.288962885</c:v>
                </c:pt>
                <c:pt idx="6">
                  <c:v>-160016.721349842</c:v>
                </c:pt>
                <c:pt idx="7">
                  <c:v>-170828.049028473</c:v>
                </c:pt>
                <c:pt idx="8">
                  <c:v>-181495.537897241</c:v>
                </c:pt>
                <c:pt idx="9">
                  <c:v>-192017.435792469</c:v>
                </c:pt>
                <c:pt idx="10">
                  <c:v>-202391.972376396</c:v>
                </c:pt>
                <c:pt idx="11">
                  <c:v>-212617.359026728</c:v>
                </c:pt>
                <c:pt idx="12">
                  <c:v>-222691.788727786</c:v>
                </c:pt>
                <c:pt idx="13">
                  <c:v>-232613.435963322</c:v>
                </c:pt>
                <c:pt idx="14">
                  <c:v>-242380.456611105</c:v>
                </c:pt>
                <c:pt idx="15">
                  <c:v>-251990.987839364</c:v>
                </c:pt>
                <c:pt idx="16">
                  <c:v>-261443.148005194</c:v>
                </c:pt>
                <c:pt idx="17">
                  <c:v>-270735.036555012</c:v>
                </c:pt>
                <c:pt idx="18">
                  <c:v>-279864.733927181</c:v>
                </c:pt>
                <c:pt idx="19">
                  <c:v>-288830.301456888</c:v>
                </c:pt>
                <c:pt idx="20">
                  <c:v>84630.0341720246</c:v>
                </c:pt>
                <c:pt idx="21">
                  <c:v>84630.0341720246</c:v>
                </c:pt>
                <c:pt idx="22">
                  <c:v>84630.0341720246</c:v>
                </c:pt>
                <c:pt idx="23">
                  <c:v>84630.0341720246</c:v>
                </c:pt>
                <c:pt idx="24">
                  <c:v>84630.0341720246</c:v>
                </c:pt>
                <c:pt idx="25">
                  <c:v>84630.0341720246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39815"/>
        <c:axId val="60066577"/>
      </c:lineChart>
      <c:catAx>
        <c:axId val="3239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66577"/>
        <c:crosses val="autoZero"/>
        <c:auto val="1"/>
        <c:lblAlgn val="ctr"/>
        <c:lblOffset val="100"/>
        <c:noMultiLvlLbl val="0"/>
      </c:catAx>
      <c:valAx>
        <c:axId val="60066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9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1</xdr:col>
      <xdr:colOff>1865520</xdr:colOff>
      <xdr:row>45</xdr:row>
      <xdr:rowOff>172440</xdr:rowOff>
    </xdr:to>
    <xdr:graphicFrame>
      <xdr:nvGraphicFramePr>
        <xdr:cNvPr id="0" name="Chart 1"/>
        <xdr:cNvGraphicFramePr/>
      </xdr:nvGraphicFramePr>
      <xdr:xfrm>
        <a:off x="0" y="5715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/>
      <c r="C5" s="5"/>
    </row>
    <row r="6" customFormat="false" ht="15" hidden="false" customHeight="false" outlineLevel="0" collapsed="false">
      <c r="A6" s="6" t="s">
        <v>6</v>
      </c>
      <c r="B6" s="7" t="n">
        <f aca="false">Hypothèses!$B$8</f>
        <v>400000</v>
      </c>
      <c r="C6" s="7" t="n">
        <f aca="false">Hypothèses!$C$8</f>
        <v>400000</v>
      </c>
    </row>
    <row r="7" customFormat="false" ht="15" hidden="false" customHeight="false" outlineLevel="0" collapsed="false">
      <c r="A7" s="6" t="s">
        <v>7</v>
      </c>
      <c r="B7" s="7" t="n">
        <f aca="false">Hypothèses!$B$12</f>
        <v>440000</v>
      </c>
      <c r="C7" s="7" t="n">
        <f aca="false">Hypothèses!$C$12</f>
        <v>440000</v>
      </c>
    </row>
    <row r="8" customFormat="false" ht="15" hidden="false" customHeight="false" outlineLevel="0" collapsed="false">
      <c r="A8" s="6" t="s">
        <v>8</v>
      </c>
      <c r="B8" s="7" t="n">
        <f aca="false">Hypothèses!$B$15</f>
        <v>0</v>
      </c>
      <c r="C8" s="7" t="n">
        <f aca="false">Hypothèses!$C$15</f>
        <v>352000</v>
      </c>
    </row>
    <row r="9" customFormat="false" ht="15" hidden="false" customHeight="false" outlineLevel="0" collapsed="false">
      <c r="A9" s="6" t="s">
        <v>9</v>
      </c>
      <c r="B9" s="7" t="n">
        <f aca="false">Hypothèses!$B$20</f>
        <v>440000</v>
      </c>
      <c r="C9" s="7" t="n">
        <f aca="false">Hypothèses!$C$20</f>
        <v>92224</v>
      </c>
    </row>
    <row r="10" customFormat="false" ht="15" hidden="false" customHeight="false" outlineLevel="0" collapsed="false">
      <c r="A10" s="6" t="s">
        <v>10</v>
      </c>
      <c r="B10" s="7" t="n">
        <f aca="false">Hypothèses!$B$21</f>
        <v>0</v>
      </c>
      <c r="C10" s="7" t="n">
        <f aca="false">Hypothèses!$C$21</f>
        <v>1724.66471438144</v>
      </c>
    </row>
    <row r="11" customFormat="false" ht="15" hidden="false" customHeight="false" outlineLevel="0" collapsed="false">
      <c r="A11" s="4" t="s">
        <v>11</v>
      </c>
      <c r="B11" s="5"/>
      <c r="C11" s="5"/>
    </row>
    <row r="12" customFormat="false" ht="15" hidden="false" customHeight="false" outlineLevel="0" collapsed="false">
      <c r="A12" s="6" t="s">
        <v>12</v>
      </c>
      <c r="B12" s="8" t="n">
        <f aca="false">Hypothèses!$B$24*12/Hypothèses!$B$8</f>
        <v>0.0384</v>
      </c>
      <c r="C12" s="8" t="n">
        <f aca="false">Hypothèses!$C$24*12/Hypothèses!$C$8</f>
        <v>0.0384</v>
      </c>
    </row>
    <row r="13" customFormat="false" ht="15" hidden="false" customHeight="false" outlineLevel="0" collapsed="false">
      <c r="A13" s="6" t="s">
        <v>13</v>
      </c>
      <c r="B13" s="8" t="n">
        <f aca="false">'Fonds propres'!C17/Hypothèses!$B$12</f>
        <v>0.0229850181818182</v>
      </c>
      <c r="C13" s="8" t="n">
        <f aca="false">'Avec dette'!C17/Hypothèses!$C$12</f>
        <v>0.0229850181818182</v>
      </c>
    </row>
    <row r="14" customFormat="false" ht="15" hidden="false" customHeight="false" outlineLevel="0" collapsed="false">
      <c r="A14" s="4" t="s">
        <v>14</v>
      </c>
      <c r="B14" s="5"/>
      <c r="C14" s="5"/>
    </row>
    <row r="15" customFormat="false" ht="15" hidden="false" customHeight="false" outlineLevel="0" collapsed="false">
      <c r="A15" s="6" t="s">
        <v>15</v>
      </c>
      <c r="B15" s="7" t="n">
        <f aca="false">'Fonds propres'!C32</f>
        <v>9823.879424</v>
      </c>
      <c r="C15" s="7" t="n">
        <f aca="false">'Avec dette'!C32</f>
        <v>-11638.5685725772</v>
      </c>
    </row>
    <row r="16" customFormat="false" ht="15" hidden="false" customHeight="false" outlineLevel="0" collapsed="false">
      <c r="A16" s="6" t="s">
        <v>16</v>
      </c>
      <c r="B16" s="7" t="n">
        <f aca="false">'Fonds propres'!C32/12</f>
        <v>818.656618666667</v>
      </c>
      <c r="C16" s="7" t="n">
        <f aca="false">'Avec dette'!C32/12</f>
        <v>-969.880714381437</v>
      </c>
    </row>
    <row r="17" customFormat="false" ht="15" hidden="false" customHeight="false" outlineLevel="0" collapsed="false">
      <c r="A17" s="6" t="s">
        <v>17</v>
      </c>
      <c r="B17" s="8" t="n">
        <f aca="false">IF(Hypothèses!$B$20&gt;0,'Fonds propres'!C32/Hypothèses!$B$20,0)</f>
        <v>0.0223269986909091</v>
      </c>
      <c r="C17" s="8" t="n">
        <f aca="false">IF(Hypothèses!$C$20&gt;0,'Avec dette'!C32/Hypothèses!$C$20,0)</f>
        <v>-0.126198913217571</v>
      </c>
    </row>
    <row r="18" customFormat="false" ht="15" hidden="false" customHeight="false" outlineLevel="0" collapsed="false">
      <c r="A18" s="4" t="s">
        <v>18</v>
      </c>
      <c r="B18" s="5"/>
      <c r="C18" s="5"/>
    </row>
    <row r="19" customFormat="false" ht="15" hidden="false" customHeight="false" outlineLevel="0" collapsed="false">
      <c r="A19" s="6" t="s">
        <v>19</v>
      </c>
      <c r="B19" s="9" t="n">
        <f aca="false">Hypothèses!$B$43</f>
        <v>20</v>
      </c>
      <c r="C19" s="9" t="n">
        <f aca="false">Hypothèses!$C$43</f>
        <v>20</v>
      </c>
    </row>
    <row r="20" customFormat="false" ht="15" hidden="false" customHeight="false" outlineLevel="0" collapsed="false">
      <c r="A20" s="6" t="s">
        <v>20</v>
      </c>
      <c r="B20" s="7" t="n">
        <f aca="false">SUM('Fonds propres'!C34:AA34)</f>
        <v>538742.002620022</v>
      </c>
      <c r="C20" s="7" t="n">
        <f aca="false">SUM('Avec dette'!C34:AA34)</f>
        <v>538742.002620022</v>
      </c>
    </row>
    <row r="21" customFormat="false" ht="15" hidden="false" customHeight="false" outlineLevel="0" collapsed="false">
      <c r="A21" s="6" t="s">
        <v>21</v>
      </c>
      <c r="B21" s="7" t="n">
        <f aca="false">SUM('Fonds propres'!C40:AA40)</f>
        <v>477532.966084286</v>
      </c>
      <c r="C21" s="7" t="n">
        <f aca="false">SUM('Avec dette'!C40:AA40)</f>
        <v>382259.815455434</v>
      </c>
    </row>
    <row r="22" customFormat="false" ht="15" hidden="false" customHeight="false" outlineLevel="0" collapsed="false">
      <c r="A22" s="6" t="s">
        <v>22</v>
      </c>
      <c r="B22" s="7" t="n">
        <f aca="false">SUMPRODUCT('Fonds propres'!C4:AA4,'Fonds propres'!C32:AA32)</f>
        <v>206206.620088775</v>
      </c>
      <c r="C22" s="7" t="n">
        <f aca="false">SUMPRODUCT('Avec dette'!C4:AA4,'Avec dette'!C32:AA32)</f>
        <v>-205405.781283409</v>
      </c>
    </row>
    <row r="23" customFormat="false" ht="15" hidden="false" customHeight="false" outlineLevel="0" collapsed="false">
      <c r="A23" s="6" t="s">
        <v>23</v>
      </c>
      <c r="B23" s="7" t="n">
        <f aca="false">SUM('Fonds propres'!B42:AA42)</f>
        <v>243739.586173062</v>
      </c>
      <c r="C23" s="7" t="n">
        <f aca="false">SUM('Avec dette'!B42:AA42)</f>
        <v>84630.0341720246</v>
      </c>
    </row>
    <row r="24" customFormat="false" ht="15" hidden="false" customHeight="false" outlineLevel="0" collapsed="false">
      <c r="A24" s="6" t="s">
        <v>24</v>
      </c>
      <c r="B24" s="10" t="n">
        <f aca="false">SUM('Fonds propres'!C42:AA42)/Hypothèses!$B$20</f>
        <v>1.55395360493878</v>
      </c>
      <c r="C24" s="10" t="n">
        <f aca="false">SUM('Avec dette'!C42:AA42)/Hypothèses!$C$20</f>
        <v>1.9176573795544</v>
      </c>
    </row>
    <row r="25" customFormat="false" ht="15" hidden="false" customHeight="false" outlineLevel="0" collapsed="false">
      <c r="A25" s="11" t="s">
        <v>25</v>
      </c>
      <c r="B25" s="12" t="n">
        <f aca="false">IRR('Fonds propres'!B42:AA42,0.05)</f>
        <v>0.026631927173784</v>
      </c>
      <c r="C25" s="12" t="n">
        <f aca="false">IRR('Avec dette'!B42:AA42,0.05)</f>
        <v>0.0187262441441511</v>
      </c>
    </row>
    <row r="27" customFormat="false" ht="15" hidden="false" customHeight="false" outlineLevel="0" collapsed="false">
      <c r="A27" s="13" t="s">
        <v>26</v>
      </c>
      <c r="C27" s="14" t="n">
        <f aca="false">C25-B25</f>
        <v>-0.0079056830296329</v>
      </c>
    </row>
    <row r="29" customFormat="false" ht="15" hidden="false" customHeight="false" outlineLevel="0" collapsed="false">
      <c r="A29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5" t="s">
        <v>30</v>
      </c>
      <c r="B4" s="15" t="s">
        <v>31</v>
      </c>
      <c r="C4" s="15" t="s">
        <v>32</v>
      </c>
      <c r="D4" s="15" t="s">
        <v>33</v>
      </c>
    </row>
    <row r="5" customFormat="false" ht="15" hidden="false" customHeight="false" outlineLevel="0" collapsed="false">
      <c r="A5" s="4" t="s">
        <v>34</v>
      </c>
      <c r="B5" s="5"/>
      <c r="C5" s="5"/>
      <c r="D5" s="5"/>
    </row>
    <row r="6" customFormat="false" ht="15" hidden="false" customHeight="false" outlineLevel="0" collapsed="false">
      <c r="A6" s="6" t="s">
        <v>35</v>
      </c>
      <c r="B6" s="16" t="n">
        <v>40</v>
      </c>
      <c r="C6" s="17" t="n">
        <f aca="false">B6</f>
        <v>40</v>
      </c>
      <c r="D6" s="18" t="s">
        <v>36</v>
      </c>
    </row>
    <row r="7" customFormat="false" ht="15" hidden="false" customHeight="false" outlineLevel="0" collapsed="false">
      <c r="A7" s="6" t="s">
        <v>37</v>
      </c>
      <c r="B7" s="19" t="n">
        <v>10000</v>
      </c>
      <c r="C7" s="20" t="n">
        <f aca="false">B7</f>
        <v>10000</v>
      </c>
      <c r="D7" s="18" t="s">
        <v>38</v>
      </c>
    </row>
    <row r="8" customFormat="false" ht="15" hidden="false" customHeight="false" outlineLevel="0" collapsed="false">
      <c r="A8" s="6" t="s">
        <v>6</v>
      </c>
      <c r="B8" s="20" t="n">
        <f aca="false">B6*B7</f>
        <v>400000</v>
      </c>
      <c r="C8" s="20" t="n">
        <f aca="false">C6*C7</f>
        <v>400000</v>
      </c>
      <c r="D8" s="18"/>
    </row>
    <row r="9" customFormat="false" ht="15" hidden="false" customHeight="false" outlineLevel="0" collapsed="false">
      <c r="A9" s="6" t="s">
        <v>39</v>
      </c>
      <c r="B9" s="21" t="n">
        <v>0.075</v>
      </c>
      <c r="C9" s="22" t="n">
        <f aca="false">B9</f>
        <v>0.075</v>
      </c>
      <c r="D9" s="18" t="s">
        <v>40</v>
      </c>
    </row>
    <row r="10" customFormat="false" ht="15" hidden="false" customHeight="false" outlineLevel="0" collapsed="false">
      <c r="A10" s="6" t="s">
        <v>41</v>
      </c>
      <c r="B10" s="20" t="n">
        <f aca="false">B8*B9</f>
        <v>30000</v>
      </c>
      <c r="C10" s="20" t="n">
        <f aca="false">C8*C9</f>
        <v>30000</v>
      </c>
      <c r="D10" s="18"/>
    </row>
    <row r="11" customFormat="false" ht="15" hidden="false" customHeight="false" outlineLevel="0" collapsed="false">
      <c r="A11" s="6" t="s">
        <v>42</v>
      </c>
      <c r="B11" s="23" t="n">
        <v>10000</v>
      </c>
      <c r="C11" s="20" t="n">
        <f aca="false">B11</f>
        <v>10000</v>
      </c>
      <c r="D11" s="18" t="s">
        <v>43</v>
      </c>
    </row>
    <row r="12" customFormat="false" ht="15" hidden="false" customHeight="false" outlineLevel="0" collapsed="false">
      <c r="A12" s="6" t="s">
        <v>44</v>
      </c>
      <c r="B12" s="20" t="n">
        <f aca="false">B8+B10+B11</f>
        <v>440000</v>
      </c>
      <c r="C12" s="20" t="n">
        <f aca="false">C8+C10+C11</f>
        <v>440000</v>
      </c>
      <c r="D12" s="18"/>
    </row>
    <row r="13" customFormat="false" ht="15" hidden="false" customHeight="false" outlineLevel="0" collapsed="false">
      <c r="A13" s="4" t="s">
        <v>45</v>
      </c>
      <c r="B13" s="5"/>
      <c r="C13" s="5"/>
      <c r="D13" s="5"/>
    </row>
    <row r="14" customFormat="false" ht="15" hidden="false" customHeight="false" outlineLevel="0" collapsed="false">
      <c r="A14" s="6" t="s">
        <v>46</v>
      </c>
      <c r="B14" s="24" t="n">
        <v>0</v>
      </c>
      <c r="C14" s="24" t="n">
        <v>0.8</v>
      </c>
      <c r="D14" s="18" t="s">
        <v>47</v>
      </c>
    </row>
    <row r="15" customFormat="false" ht="15" hidden="false" customHeight="false" outlineLevel="0" collapsed="false">
      <c r="A15" s="6" t="s">
        <v>48</v>
      </c>
      <c r="B15" s="20" t="n">
        <f aca="false">B12*B14</f>
        <v>0</v>
      </c>
      <c r="C15" s="20" t="n">
        <f aca="false">C12*C14</f>
        <v>352000</v>
      </c>
      <c r="D15" s="18"/>
    </row>
    <row r="16" customFormat="false" ht="15" hidden="false" customHeight="false" outlineLevel="0" collapsed="false">
      <c r="A16" s="6" t="s">
        <v>49</v>
      </c>
      <c r="B16" s="25" t="n">
        <v>0.033</v>
      </c>
      <c r="C16" s="26" t="n">
        <f aca="false">B16</f>
        <v>0.033</v>
      </c>
      <c r="D16" s="18" t="s">
        <v>50</v>
      </c>
    </row>
    <row r="17" customFormat="false" ht="15" hidden="false" customHeight="false" outlineLevel="0" collapsed="false">
      <c r="A17" s="6" t="s">
        <v>51</v>
      </c>
      <c r="B17" s="16" t="n">
        <v>25</v>
      </c>
      <c r="C17" s="17" t="n">
        <f aca="false">B17</f>
        <v>25</v>
      </c>
      <c r="D17" s="18" t="s">
        <v>52</v>
      </c>
    </row>
    <row r="18" customFormat="false" ht="15" hidden="false" customHeight="false" outlineLevel="0" collapsed="false">
      <c r="A18" s="6" t="s">
        <v>53</v>
      </c>
      <c r="B18" s="27" t="n">
        <v>0.003</v>
      </c>
      <c r="C18" s="26" t="n">
        <f aca="false">B18</f>
        <v>0.003</v>
      </c>
      <c r="D18" s="18" t="s">
        <v>54</v>
      </c>
    </row>
    <row r="19" customFormat="false" ht="15" hidden="false" customHeight="false" outlineLevel="0" collapsed="false">
      <c r="A19" s="6" t="s">
        <v>55</v>
      </c>
      <c r="B19" s="27" t="n">
        <v>0.012</v>
      </c>
      <c r="C19" s="26" t="n">
        <f aca="false">B19</f>
        <v>0.012</v>
      </c>
      <c r="D19" s="18" t="s">
        <v>56</v>
      </c>
    </row>
    <row r="20" customFormat="false" ht="15" hidden="false" customHeight="false" outlineLevel="0" collapsed="false">
      <c r="A20" s="6" t="s">
        <v>57</v>
      </c>
      <c r="B20" s="20" t="n">
        <f aca="false">B12-B15+B15*B19</f>
        <v>440000</v>
      </c>
      <c r="C20" s="20" t="n">
        <f aca="false">C12-C15+C15*C19</f>
        <v>92224</v>
      </c>
      <c r="D20" s="18" t="s">
        <v>58</v>
      </c>
    </row>
    <row r="21" customFormat="false" ht="15" hidden="false" customHeight="false" outlineLevel="0" collapsed="false">
      <c r="A21" s="6" t="s">
        <v>59</v>
      </c>
      <c r="B21" s="20" t="n">
        <f aca="false">IF(B15=0,0,-PMT(B16/12,B17*12,B15))</f>
        <v>0</v>
      </c>
      <c r="C21" s="20" t="n">
        <f aca="false">IF(C15=0,0,-PMT(C16/12,C17*12,C15))</f>
        <v>1724.66471438144</v>
      </c>
      <c r="D21" s="18"/>
    </row>
    <row r="22" customFormat="false" ht="15" hidden="false" customHeight="false" outlineLevel="0" collapsed="false">
      <c r="A22" s="4" t="s">
        <v>60</v>
      </c>
      <c r="B22" s="5"/>
      <c r="C22" s="5"/>
      <c r="D22" s="5"/>
    </row>
    <row r="23" customFormat="false" ht="15" hidden="false" customHeight="false" outlineLevel="0" collapsed="false">
      <c r="A23" s="6" t="s">
        <v>61</v>
      </c>
      <c r="B23" s="28" t="n">
        <v>32</v>
      </c>
      <c r="C23" s="29" t="n">
        <f aca="false">B23</f>
        <v>32</v>
      </c>
      <c r="D23" s="18" t="s">
        <v>62</v>
      </c>
    </row>
    <row r="24" customFormat="false" ht="15" hidden="false" customHeight="false" outlineLevel="0" collapsed="false">
      <c r="A24" s="6" t="s">
        <v>63</v>
      </c>
      <c r="B24" s="20" t="n">
        <f aca="false">B6*B23</f>
        <v>1280</v>
      </c>
      <c r="C24" s="20" t="n">
        <f aca="false">C6*C23</f>
        <v>1280</v>
      </c>
      <c r="D24" s="18"/>
    </row>
    <row r="25" customFormat="false" ht="15" hidden="false" customHeight="false" outlineLevel="0" collapsed="false">
      <c r="A25" s="6" t="s">
        <v>64</v>
      </c>
      <c r="B25" s="21" t="n">
        <v>0.04</v>
      </c>
      <c r="C25" s="22" t="n">
        <f aca="false">B25</f>
        <v>0.04</v>
      </c>
      <c r="D25" s="18" t="s">
        <v>65</v>
      </c>
    </row>
    <row r="26" customFormat="false" ht="15" hidden="false" customHeight="false" outlineLevel="0" collapsed="false">
      <c r="A26" s="6" t="s">
        <v>66</v>
      </c>
      <c r="B26" s="21" t="n">
        <v>0.015</v>
      </c>
      <c r="C26" s="22" t="n">
        <f aca="false">B26</f>
        <v>0.015</v>
      </c>
      <c r="D26" s="18" t="s">
        <v>67</v>
      </c>
    </row>
    <row r="27" customFormat="false" ht="15" hidden="false" customHeight="false" outlineLevel="0" collapsed="false">
      <c r="A27" s="4" t="s">
        <v>68</v>
      </c>
      <c r="B27" s="5"/>
      <c r="C27" s="5"/>
      <c r="D27" s="5"/>
    </row>
    <row r="28" customFormat="false" ht="15" hidden="false" customHeight="false" outlineLevel="0" collapsed="false">
      <c r="A28" s="6" t="s">
        <v>69</v>
      </c>
      <c r="B28" s="23" t="n">
        <v>1200</v>
      </c>
      <c r="C28" s="20" t="n">
        <f aca="false">B28</f>
        <v>1200</v>
      </c>
      <c r="D28" s="18" t="s">
        <v>70</v>
      </c>
    </row>
    <row r="29" customFormat="false" ht="15" hidden="false" customHeight="false" outlineLevel="0" collapsed="false">
      <c r="A29" s="6" t="s">
        <v>71</v>
      </c>
      <c r="B29" s="23" t="n">
        <v>1000</v>
      </c>
      <c r="C29" s="20" t="n">
        <f aca="false">B29</f>
        <v>1000</v>
      </c>
      <c r="D29" s="18" t="s">
        <v>72</v>
      </c>
    </row>
    <row r="30" customFormat="false" ht="15" hidden="false" customHeight="false" outlineLevel="0" collapsed="false">
      <c r="A30" s="6" t="s">
        <v>73</v>
      </c>
      <c r="B30" s="23" t="n">
        <v>200</v>
      </c>
      <c r="C30" s="20" t="n">
        <f aca="false">B30</f>
        <v>200</v>
      </c>
      <c r="D30" s="18"/>
    </row>
    <row r="31" customFormat="false" ht="15" hidden="false" customHeight="false" outlineLevel="0" collapsed="false">
      <c r="A31" s="6" t="s">
        <v>74</v>
      </c>
      <c r="B31" s="23" t="n">
        <v>500</v>
      </c>
      <c r="C31" s="20" t="n">
        <f aca="false">B31</f>
        <v>500</v>
      </c>
      <c r="D31" s="18"/>
    </row>
    <row r="32" customFormat="false" ht="15" hidden="false" customHeight="false" outlineLevel="0" collapsed="false">
      <c r="A32" s="6" t="s">
        <v>75</v>
      </c>
      <c r="B32" s="23" t="n">
        <v>700</v>
      </c>
      <c r="C32" s="20" t="n">
        <f aca="false">B32</f>
        <v>700</v>
      </c>
      <c r="D32" s="18" t="s">
        <v>76</v>
      </c>
    </row>
    <row r="33" customFormat="false" ht="15" hidden="false" customHeight="false" outlineLevel="0" collapsed="false">
      <c r="A33" s="6" t="s">
        <v>77</v>
      </c>
      <c r="B33" s="21" t="n">
        <v>0.07</v>
      </c>
      <c r="C33" s="22" t="n">
        <f aca="false">B33</f>
        <v>0.07</v>
      </c>
      <c r="D33" s="18" t="s">
        <v>78</v>
      </c>
    </row>
    <row r="34" customFormat="false" ht="15" hidden="false" customHeight="false" outlineLevel="0" collapsed="false">
      <c r="A34" s="6" t="s">
        <v>79</v>
      </c>
      <c r="B34" s="21" t="n">
        <v>0.02</v>
      </c>
      <c r="C34" s="22" t="n">
        <f aca="false">B34</f>
        <v>0.02</v>
      </c>
      <c r="D34" s="18"/>
    </row>
    <row r="35" customFormat="false" ht="15" hidden="false" customHeight="false" outlineLevel="0" collapsed="false">
      <c r="A35" s="4" t="s">
        <v>80</v>
      </c>
      <c r="B35" s="5"/>
      <c r="C35" s="5"/>
      <c r="D35" s="5"/>
    </row>
    <row r="36" customFormat="false" ht="15" hidden="false" customHeight="false" outlineLevel="0" collapsed="false">
      <c r="A36" s="6" t="s">
        <v>81</v>
      </c>
      <c r="B36" s="24" t="n">
        <v>0.3</v>
      </c>
      <c r="C36" s="22" t="n">
        <f aca="false">B36</f>
        <v>0.3</v>
      </c>
      <c r="D36" s="18" t="s">
        <v>82</v>
      </c>
    </row>
    <row r="37" customFormat="false" ht="15" hidden="false" customHeight="false" outlineLevel="0" collapsed="false">
      <c r="A37" s="6" t="s">
        <v>83</v>
      </c>
      <c r="B37" s="21" t="n">
        <v>0.172</v>
      </c>
      <c r="C37" s="22" t="n">
        <f aca="false">B37</f>
        <v>0.172</v>
      </c>
      <c r="D37" s="18" t="s">
        <v>84</v>
      </c>
    </row>
    <row r="38" customFormat="false" ht="15" hidden="false" customHeight="false" outlineLevel="0" collapsed="false">
      <c r="A38" s="6" t="s">
        <v>85</v>
      </c>
      <c r="B38" s="21" t="n">
        <v>0.85</v>
      </c>
      <c r="C38" s="22" t="n">
        <f aca="false">B38</f>
        <v>0.85</v>
      </c>
      <c r="D38" s="18" t="s">
        <v>86</v>
      </c>
    </row>
    <row r="39" customFormat="false" ht="15" hidden="false" customHeight="false" outlineLevel="0" collapsed="false">
      <c r="A39" s="6" t="s">
        <v>87</v>
      </c>
      <c r="B39" s="16" t="n">
        <v>40</v>
      </c>
      <c r="C39" s="17" t="n">
        <f aca="false">B39</f>
        <v>40</v>
      </c>
      <c r="D39" s="18"/>
    </row>
    <row r="40" customFormat="false" ht="15" hidden="false" customHeight="false" outlineLevel="0" collapsed="false">
      <c r="A40" s="6" t="s">
        <v>88</v>
      </c>
      <c r="B40" s="16" t="n">
        <v>10</v>
      </c>
      <c r="C40" s="17" t="n">
        <f aca="false">B40</f>
        <v>10</v>
      </c>
      <c r="D40" s="18"/>
    </row>
    <row r="41" customFormat="false" ht="15" hidden="false" customHeight="false" outlineLevel="0" collapsed="false">
      <c r="A41" s="18" t="s">
        <v>89</v>
      </c>
    </row>
    <row r="42" customFormat="false" ht="15" hidden="false" customHeight="false" outlineLevel="0" collapsed="false">
      <c r="A42" s="4" t="s">
        <v>90</v>
      </c>
      <c r="B42" s="5"/>
      <c r="C42" s="5"/>
      <c r="D42" s="5"/>
    </row>
    <row r="43" customFormat="false" ht="15" hidden="false" customHeight="false" outlineLevel="0" collapsed="false">
      <c r="A43" s="6" t="s">
        <v>91</v>
      </c>
      <c r="B43" s="30" t="n">
        <v>20</v>
      </c>
      <c r="C43" s="17" t="n">
        <f aca="false">B43</f>
        <v>20</v>
      </c>
      <c r="D43" s="18" t="s">
        <v>92</v>
      </c>
    </row>
    <row r="44" customFormat="false" ht="15" hidden="false" customHeight="false" outlineLevel="0" collapsed="false">
      <c r="A44" s="6" t="s">
        <v>93</v>
      </c>
      <c r="B44" s="24" t="n">
        <v>0.015</v>
      </c>
      <c r="C44" s="22" t="n">
        <f aca="false">B44</f>
        <v>0.015</v>
      </c>
      <c r="D44" s="18" t="s">
        <v>94</v>
      </c>
    </row>
    <row r="45" customFormat="false" ht="15" hidden="false" customHeight="false" outlineLevel="0" collapsed="false">
      <c r="A45" s="6" t="s">
        <v>95</v>
      </c>
      <c r="B45" s="21" t="n">
        <v>0.04</v>
      </c>
      <c r="C45" s="22" t="n">
        <f aca="false">B45</f>
        <v>0.04</v>
      </c>
      <c r="D45" s="18" t="s">
        <v>96</v>
      </c>
    </row>
    <row r="46" customFormat="false" ht="15" hidden="false" customHeight="false" outlineLevel="0" collapsed="false">
      <c r="A46" s="6" t="s">
        <v>97</v>
      </c>
      <c r="B46" s="21" t="n">
        <v>0.19</v>
      </c>
      <c r="C46" s="22" t="n">
        <f aca="false">B46</f>
        <v>0.19</v>
      </c>
      <c r="D46" s="18"/>
    </row>
    <row r="47" customFormat="false" ht="15" hidden="false" customHeight="false" outlineLevel="0" collapsed="false">
      <c r="A47" s="6" t="s">
        <v>98</v>
      </c>
      <c r="B47" s="22" t="n">
        <f aca="false">IF(B43&lt;=5,0,IF(B43&lt;=21,0.06*(B43-5),1))</f>
        <v>0.9</v>
      </c>
      <c r="C47" s="22" t="n">
        <f aca="false">IF(C43&lt;=5,0,IF(C43&lt;=21,0.06*(C43-5),1))</f>
        <v>0.9</v>
      </c>
      <c r="D47" s="18" t="s">
        <v>99</v>
      </c>
    </row>
    <row r="48" customFormat="false" ht="15" hidden="false" customHeight="false" outlineLevel="0" collapsed="false">
      <c r="A48" s="6" t="s">
        <v>100</v>
      </c>
      <c r="B48" s="22" t="n">
        <f aca="false">IF(B43&lt;=5,0,IF(B43&lt;=21,0.0165*(B43-5),IF(B43&lt;=22,0.28,IF(B43&lt;=30,0.28+0.09*(B43-22),1))))</f>
        <v>0.2475</v>
      </c>
      <c r="C48" s="22" t="n">
        <f aca="false">IF(C43&lt;=5,0,IF(C43&lt;=21,0.0165*(C43-5),IF(C43&lt;=22,0.28,IF(C43&lt;=30,0.28+0.09*(C43-22),1))))</f>
        <v>0.2475</v>
      </c>
      <c r="D48" s="18" t="s">
        <v>101</v>
      </c>
    </row>
    <row r="49" customFormat="false" ht="15" hidden="false" customHeight="false" outlineLevel="0" collapsed="false">
      <c r="A49" s="6" t="s">
        <v>102</v>
      </c>
      <c r="B49" s="16" t="n">
        <v>1</v>
      </c>
      <c r="C49" s="17" t="n">
        <f aca="false">B49</f>
        <v>1</v>
      </c>
      <c r="D49" s="1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7" min="2" style="0" width="12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31" t="s">
        <v>106</v>
      </c>
      <c r="B3" s="3" t="n">
        <v>0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  <c r="AA3" s="3" t="n">
        <v>25</v>
      </c>
    </row>
    <row r="4" customFormat="false" ht="15" hidden="false" customHeight="false" outlineLevel="0" collapsed="false">
      <c r="A4" s="6" t="s">
        <v>107</v>
      </c>
      <c r="B4" s="17"/>
      <c r="C4" s="9" t="n">
        <f aca="false">IF(C$3&lt;=Hypothèses!$B$43,1,0)</f>
        <v>1</v>
      </c>
      <c r="D4" s="9" t="n">
        <f aca="false">IF(D$3&lt;=Hypothèses!$B$43,1,0)</f>
        <v>1</v>
      </c>
      <c r="E4" s="9" t="n">
        <f aca="false">IF(E$3&lt;=Hypothèses!$B$43,1,0)</f>
        <v>1</v>
      </c>
      <c r="F4" s="9" t="n">
        <f aca="false">IF(F$3&lt;=Hypothèses!$B$43,1,0)</f>
        <v>1</v>
      </c>
      <c r="G4" s="9" t="n">
        <f aca="false">IF(G$3&lt;=Hypothèses!$B$43,1,0)</f>
        <v>1</v>
      </c>
      <c r="H4" s="9" t="n">
        <f aca="false">IF(H$3&lt;=Hypothèses!$B$43,1,0)</f>
        <v>1</v>
      </c>
      <c r="I4" s="9" t="n">
        <f aca="false">IF(I$3&lt;=Hypothèses!$B$43,1,0)</f>
        <v>1</v>
      </c>
      <c r="J4" s="9" t="n">
        <f aca="false">IF(J$3&lt;=Hypothèses!$B$43,1,0)</f>
        <v>1</v>
      </c>
      <c r="K4" s="9" t="n">
        <f aca="false">IF(K$3&lt;=Hypothèses!$B$43,1,0)</f>
        <v>1</v>
      </c>
      <c r="L4" s="9" t="n">
        <f aca="false">IF(L$3&lt;=Hypothèses!$B$43,1,0)</f>
        <v>1</v>
      </c>
      <c r="M4" s="9" t="n">
        <f aca="false">IF(M$3&lt;=Hypothèses!$B$43,1,0)</f>
        <v>1</v>
      </c>
      <c r="N4" s="9" t="n">
        <f aca="false">IF(N$3&lt;=Hypothèses!$B$43,1,0)</f>
        <v>1</v>
      </c>
      <c r="O4" s="9" t="n">
        <f aca="false">IF(O$3&lt;=Hypothèses!$B$43,1,0)</f>
        <v>1</v>
      </c>
      <c r="P4" s="9" t="n">
        <f aca="false">IF(P$3&lt;=Hypothèses!$B$43,1,0)</f>
        <v>1</v>
      </c>
      <c r="Q4" s="9" t="n">
        <f aca="false">IF(Q$3&lt;=Hypothèses!$B$43,1,0)</f>
        <v>1</v>
      </c>
      <c r="R4" s="9" t="n">
        <f aca="false">IF(R$3&lt;=Hypothèses!$B$43,1,0)</f>
        <v>1</v>
      </c>
      <c r="S4" s="9" t="n">
        <f aca="false">IF(S$3&lt;=Hypothèses!$B$43,1,0)</f>
        <v>1</v>
      </c>
      <c r="T4" s="9" t="n">
        <f aca="false">IF(T$3&lt;=Hypothèses!$B$43,1,0)</f>
        <v>1</v>
      </c>
      <c r="U4" s="9" t="n">
        <f aca="false">IF(U$3&lt;=Hypothèses!$B$43,1,0)</f>
        <v>1</v>
      </c>
      <c r="V4" s="9" t="n">
        <f aca="false">IF(V$3&lt;=Hypothèses!$B$43,1,0)</f>
        <v>1</v>
      </c>
      <c r="W4" s="9" t="n">
        <f aca="false">IF(W$3&lt;=Hypothèses!$B$43,1,0)</f>
        <v>0</v>
      </c>
      <c r="X4" s="9" t="n">
        <f aca="false">IF(X$3&lt;=Hypothèses!$B$43,1,0)</f>
        <v>0</v>
      </c>
      <c r="Y4" s="9" t="n">
        <f aca="false">IF(Y$3&lt;=Hypothèses!$B$43,1,0)</f>
        <v>0</v>
      </c>
      <c r="Z4" s="9" t="n">
        <f aca="false">IF(Z$3&lt;=Hypothèses!$B$43,1,0)</f>
        <v>0</v>
      </c>
      <c r="AA4" s="9" t="n">
        <f aca="false">IF(AA$3&lt;=Hypothèses!$B$43,1,0)</f>
        <v>0</v>
      </c>
    </row>
    <row r="5" customFormat="false" ht="15" hidden="false" customHeight="false" outlineLevel="0" collapsed="false">
      <c r="A5" s="4" t="s">
        <v>108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customFormat="false" ht="15" hidden="false" customHeight="false" outlineLevel="0" collapsed="false">
      <c r="A6" s="6" t="s">
        <v>109</v>
      </c>
      <c r="B6" s="20"/>
      <c r="C6" s="7" t="n">
        <f aca="false">Hypothèses!$B$24*12*(1+Hypothèses!$B$26)^(C$3-1)</f>
        <v>15360</v>
      </c>
      <c r="D6" s="7" t="n">
        <f aca="false">Hypothèses!$B$24*12*(1+Hypothèses!$B$26)^(D$3-1)</f>
        <v>15590.4</v>
      </c>
      <c r="E6" s="7" t="n">
        <f aca="false">Hypothèses!$B$24*12*(1+Hypothèses!$B$26)^(E$3-1)</f>
        <v>15824.256</v>
      </c>
      <c r="F6" s="7" t="n">
        <f aca="false">Hypothèses!$B$24*12*(1+Hypothèses!$B$26)^(F$3-1)</f>
        <v>16061.61984</v>
      </c>
      <c r="G6" s="7" t="n">
        <f aca="false">Hypothèses!$B$24*12*(1+Hypothèses!$B$26)^(G$3-1)</f>
        <v>16302.5441376</v>
      </c>
      <c r="H6" s="7" t="n">
        <f aca="false">Hypothèses!$B$24*12*(1+Hypothèses!$B$26)^(H$3-1)</f>
        <v>16547.082299664</v>
      </c>
      <c r="I6" s="7" t="n">
        <f aca="false">Hypothèses!$B$24*12*(1+Hypothèses!$B$26)^(I$3-1)</f>
        <v>16795.288534159</v>
      </c>
      <c r="J6" s="7" t="n">
        <f aca="false">Hypothèses!$B$24*12*(1+Hypothèses!$B$26)^(J$3-1)</f>
        <v>17047.2178621713</v>
      </c>
      <c r="K6" s="7" t="n">
        <f aca="false">Hypothèses!$B$24*12*(1+Hypothèses!$B$26)^(K$3-1)</f>
        <v>17302.9261301039</v>
      </c>
      <c r="L6" s="7" t="n">
        <f aca="false">Hypothèses!$B$24*12*(1+Hypothèses!$B$26)^(L$3-1)</f>
        <v>17562.4700220555</v>
      </c>
      <c r="M6" s="7" t="n">
        <f aca="false">Hypothèses!$B$24*12*(1+Hypothèses!$B$26)^(M$3-1)</f>
        <v>17825.9070723863</v>
      </c>
      <c r="N6" s="7" t="n">
        <f aca="false">Hypothèses!$B$24*12*(1+Hypothèses!$B$26)^(N$3-1)</f>
        <v>18093.2956784721</v>
      </c>
      <c r="O6" s="7" t="n">
        <f aca="false">Hypothèses!$B$24*12*(1+Hypothèses!$B$26)^(O$3-1)</f>
        <v>18364.6951136492</v>
      </c>
      <c r="P6" s="7" t="n">
        <f aca="false">Hypothèses!$B$24*12*(1+Hypothèses!$B$26)^(P$3-1)</f>
        <v>18640.1655403539</v>
      </c>
      <c r="Q6" s="7" t="n">
        <f aca="false">Hypothèses!$B$24*12*(1+Hypothèses!$B$26)^(Q$3-1)</f>
        <v>18919.7680234592</v>
      </c>
      <c r="R6" s="7" t="n">
        <f aca="false">Hypothèses!$B$24*12*(1+Hypothèses!$B$26)^(R$3-1)</f>
        <v>19203.5645438111</v>
      </c>
      <c r="S6" s="7" t="n">
        <f aca="false">Hypothèses!$B$24*12*(1+Hypothèses!$B$26)^(S$3-1)</f>
        <v>19491.6180119683</v>
      </c>
      <c r="T6" s="7" t="n">
        <f aca="false">Hypothèses!$B$24*12*(1+Hypothèses!$B$26)^(T$3-1)</f>
        <v>19783.9922821478</v>
      </c>
      <c r="U6" s="7" t="n">
        <f aca="false">Hypothèses!$B$24*12*(1+Hypothèses!$B$26)^(U$3-1)</f>
        <v>20080.75216638</v>
      </c>
      <c r="V6" s="7" t="n">
        <f aca="false">Hypothèses!$B$24*12*(1+Hypothèses!$B$26)^(V$3-1)</f>
        <v>20381.9634488757</v>
      </c>
      <c r="W6" s="7" t="n">
        <f aca="false">Hypothèses!$B$24*12*(1+Hypothèses!$B$26)^(W$3-1)</f>
        <v>20687.6929006088</v>
      </c>
      <c r="X6" s="7" t="n">
        <f aca="false">Hypothèses!$B$24*12*(1+Hypothèses!$B$26)^(X$3-1)</f>
        <v>20998.008294118</v>
      </c>
      <c r="Y6" s="7" t="n">
        <f aca="false">Hypothèses!$B$24*12*(1+Hypothèses!$B$26)^(Y$3-1)</f>
        <v>21312.9784185297</v>
      </c>
      <c r="Z6" s="7" t="n">
        <f aca="false">Hypothèses!$B$24*12*(1+Hypothèses!$B$26)^(Z$3-1)</f>
        <v>21632.6730948077</v>
      </c>
      <c r="AA6" s="7" t="n">
        <f aca="false">Hypothèses!$B$24*12*(1+Hypothèses!$B$26)^(AA$3-1)</f>
        <v>21957.1631912298</v>
      </c>
    </row>
    <row r="7" customFormat="false" ht="15" hidden="false" customHeight="false" outlineLevel="0" collapsed="false">
      <c r="A7" s="6" t="s">
        <v>110</v>
      </c>
      <c r="B7" s="20"/>
      <c r="C7" s="7" t="n">
        <f aca="false">-C6*Hypothèses!$B$25</f>
        <v>-614.4</v>
      </c>
      <c r="D7" s="7" t="n">
        <f aca="false">-D6*Hypothèses!$B$25</f>
        <v>-623.616</v>
      </c>
      <c r="E7" s="7" t="n">
        <f aca="false">-E6*Hypothèses!$B$25</f>
        <v>-632.97024</v>
      </c>
      <c r="F7" s="7" t="n">
        <f aca="false">-F6*Hypothèses!$B$25</f>
        <v>-642.4647936</v>
      </c>
      <c r="G7" s="7" t="n">
        <f aca="false">-G6*Hypothèses!$B$25</f>
        <v>-652.101765504</v>
      </c>
      <c r="H7" s="7" t="n">
        <f aca="false">-H6*Hypothèses!$B$25</f>
        <v>-661.88329198656</v>
      </c>
      <c r="I7" s="7" t="n">
        <f aca="false">-I6*Hypothèses!$B$25</f>
        <v>-671.811541366358</v>
      </c>
      <c r="J7" s="7" t="n">
        <f aca="false">-J6*Hypothèses!$B$25</f>
        <v>-681.888714486854</v>
      </c>
      <c r="K7" s="7" t="n">
        <f aca="false">-K6*Hypothèses!$B$25</f>
        <v>-692.117045204156</v>
      </c>
      <c r="L7" s="7" t="n">
        <f aca="false">-L6*Hypothèses!$B$25</f>
        <v>-702.498800882218</v>
      </c>
      <c r="M7" s="7" t="n">
        <f aca="false">-M6*Hypothèses!$B$25</f>
        <v>-713.036282895452</v>
      </c>
      <c r="N7" s="7" t="n">
        <f aca="false">-N6*Hypothèses!$B$25</f>
        <v>-723.731827138883</v>
      </c>
      <c r="O7" s="7" t="n">
        <f aca="false">-O6*Hypothèses!$B$25</f>
        <v>-734.587804545967</v>
      </c>
      <c r="P7" s="7" t="n">
        <f aca="false">-P6*Hypothèses!$B$25</f>
        <v>-745.606621614156</v>
      </c>
      <c r="Q7" s="7" t="n">
        <f aca="false">-Q6*Hypothèses!$B$25</f>
        <v>-756.790720938368</v>
      </c>
      <c r="R7" s="7" t="n">
        <f aca="false">-R6*Hypothèses!$B$25</f>
        <v>-768.142581752444</v>
      </c>
      <c r="S7" s="7" t="n">
        <f aca="false">-S6*Hypothèses!$B$25</f>
        <v>-779.66472047873</v>
      </c>
      <c r="T7" s="7" t="n">
        <f aca="false">-T6*Hypothèses!$B$25</f>
        <v>-791.359691285911</v>
      </c>
      <c r="U7" s="7" t="n">
        <f aca="false">-U6*Hypothèses!$B$25</f>
        <v>-803.2300866552</v>
      </c>
      <c r="V7" s="7" t="n">
        <f aca="false">-V6*Hypothèses!$B$25</f>
        <v>-815.278537955027</v>
      </c>
      <c r="W7" s="7" t="n">
        <f aca="false">-W6*Hypothèses!$B$25</f>
        <v>-827.507716024353</v>
      </c>
      <c r="X7" s="7" t="n">
        <f aca="false">-X6*Hypothèses!$B$25</f>
        <v>-839.920331764718</v>
      </c>
      <c r="Y7" s="7" t="n">
        <f aca="false">-Y6*Hypothèses!$B$25</f>
        <v>-852.519136741189</v>
      </c>
      <c r="Z7" s="7" t="n">
        <f aca="false">-Z6*Hypothèses!$B$25</f>
        <v>-865.306923792307</v>
      </c>
      <c r="AA7" s="7" t="n">
        <f aca="false">-AA6*Hypothèses!$B$25</f>
        <v>-878.286527649191</v>
      </c>
    </row>
    <row r="8" customFormat="false" ht="15" hidden="false" customHeight="false" outlineLevel="0" collapsed="false">
      <c r="A8" s="13" t="s">
        <v>111</v>
      </c>
      <c r="B8" s="33"/>
      <c r="C8" s="33" t="n">
        <f aca="false">C6+C7</f>
        <v>14745.6</v>
      </c>
      <c r="D8" s="33" t="n">
        <f aca="false">D6+D7</f>
        <v>14966.784</v>
      </c>
      <c r="E8" s="33" t="n">
        <f aca="false">E6+E7</f>
        <v>15191.28576</v>
      </c>
      <c r="F8" s="33" t="n">
        <f aca="false">F6+F7</f>
        <v>15419.1550464</v>
      </c>
      <c r="G8" s="33" t="n">
        <f aca="false">G6+G7</f>
        <v>15650.442372096</v>
      </c>
      <c r="H8" s="33" t="n">
        <f aca="false">H6+H7</f>
        <v>15885.1990076774</v>
      </c>
      <c r="I8" s="33" t="n">
        <f aca="false">I6+I7</f>
        <v>16123.4769927926</v>
      </c>
      <c r="J8" s="33" t="n">
        <f aca="false">J6+J7</f>
        <v>16365.3291476845</v>
      </c>
      <c r="K8" s="33" t="n">
        <f aca="false">K6+K7</f>
        <v>16610.8090848998</v>
      </c>
      <c r="L8" s="33" t="n">
        <f aca="false">L6+L7</f>
        <v>16859.9712211732</v>
      </c>
      <c r="M8" s="33" t="n">
        <f aca="false">M6+M7</f>
        <v>17112.8707894908</v>
      </c>
      <c r="N8" s="33" t="n">
        <f aca="false">N6+N7</f>
        <v>17369.5638513332</v>
      </c>
      <c r="O8" s="33" t="n">
        <f aca="false">O6+O7</f>
        <v>17630.1073091032</v>
      </c>
      <c r="P8" s="33" t="n">
        <f aca="false">P6+P7</f>
        <v>17894.5589187397</v>
      </c>
      <c r="Q8" s="33" t="n">
        <f aca="false">Q6+Q7</f>
        <v>18162.9773025208</v>
      </c>
      <c r="R8" s="33" t="n">
        <f aca="false">R6+R7</f>
        <v>18435.4219620586</v>
      </c>
      <c r="S8" s="33" t="n">
        <f aca="false">S6+S7</f>
        <v>18711.9532914895</v>
      </c>
      <c r="T8" s="33" t="n">
        <f aca="false">T6+T7</f>
        <v>18992.6325908619</v>
      </c>
      <c r="U8" s="33" t="n">
        <f aca="false">U6+U7</f>
        <v>19277.5220797248</v>
      </c>
      <c r="V8" s="33" t="n">
        <f aca="false">V6+V7</f>
        <v>19566.6849109207</v>
      </c>
      <c r="W8" s="33" t="n">
        <f aca="false">W6+W7</f>
        <v>19860.1851845845</v>
      </c>
      <c r="X8" s="33" t="n">
        <f aca="false">X6+X7</f>
        <v>20158.0879623532</v>
      </c>
      <c r="Y8" s="33" t="n">
        <f aca="false">Y6+Y7</f>
        <v>20460.4592817885</v>
      </c>
      <c r="Z8" s="33" t="n">
        <f aca="false">Z6+Z7</f>
        <v>20767.3661710154</v>
      </c>
      <c r="AA8" s="33" t="n">
        <f aca="false">AA6+AA7</f>
        <v>21078.8766635806</v>
      </c>
    </row>
    <row r="9" customFormat="false" ht="15" hidden="false" customHeight="false" outlineLevel="0" collapsed="false">
      <c r="A9" s="4" t="s">
        <v>112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customFormat="false" ht="15" hidden="false" customHeight="false" outlineLevel="0" collapsed="false">
      <c r="A10" s="6" t="s">
        <v>113</v>
      </c>
      <c r="B10" s="20"/>
      <c r="C10" s="7" t="n">
        <f aca="false">-Hypothèses!$B$28*(1+Hypothèses!$B$34)^(C$3-1)</f>
        <v>-1200</v>
      </c>
      <c r="D10" s="7" t="n">
        <f aca="false">-Hypothèses!$B$28*(1+Hypothèses!$B$34)^(D$3-1)</f>
        <v>-1224</v>
      </c>
      <c r="E10" s="7" t="n">
        <f aca="false">-Hypothèses!$B$28*(1+Hypothèses!$B$34)^(E$3-1)</f>
        <v>-1248.48</v>
      </c>
      <c r="F10" s="7" t="n">
        <f aca="false">-Hypothèses!$B$28*(1+Hypothèses!$B$34)^(F$3-1)</f>
        <v>-1273.4496</v>
      </c>
      <c r="G10" s="7" t="n">
        <f aca="false">-Hypothèses!$B$28*(1+Hypothèses!$B$34)^(G$3-1)</f>
        <v>-1298.918592</v>
      </c>
      <c r="H10" s="7" t="n">
        <f aca="false">-Hypothèses!$B$28*(1+Hypothèses!$B$34)^(H$3-1)</f>
        <v>-1324.89696384</v>
      </c>
      <c r="I10" s="7" t="n">
        <f aca="false">-Hypothèses!$B$28*(1+Hypothèses!$B$34)^(I$3-1)</f>
        <v>-1351.3949031168</v>
      </c>
      <c r="J10" s="7" t="n">
        <f aca="false">-Hypothèses!$B$28*(1+Hypothèses!$B$34)^(J$3-1)</f>
        <v>-1378.42280117914</v>
      </c>
      <c r="K10" s="7" t="n">
        <f aca="false">-Hypothèses!$B$28*(1+Hypothèses!$B$34)^(K$3-1)</f>
        <v>-1405.99125720272</v>
      </c>
      <c r="L10" s="7" t="n">
        <f aca="false">-Hypothèses!$B$28*(1+Hypothèses!$B$34)^(L$3-1)</f>
        <v>-1434.11108234677</v>
      </c>
      <c r="M10" s="7" t="n">
        <f aca="false">-Hypothèses!$B$28*(1+Hypothèses!$B$34)^(M$3-1)</f>
        <v>-1462.79330399371</v>
      </c>
      <c r="N10" s="7" t="n">
        <f aca="false">-Hypothèses!$B$28*(1+Hypothèses!$B$34)^(N$3-1)</f>
        <v>-1492.04917007358</v>
      </c>
      <c r="O10" s="7" t="n">
        <f aca="false">-Hypothèses!$B$28*(1+Hypothèses!$B$34)^(O$3-1)</f>
        <v>-1521.89015347505</v>
      </c>
      <c r="P10" s="7" t="n">
        <f aca="false">-Hypothèses!$B$28*(1+Hypothèses!$B$34)^(P$3-1)</f>
        <v>-1552.32795654456</v>
      </c>
      <c r="Q10" s="7" t="n">
        <f aca="false">-Hypothèses!$B$28*(1+Hypothèses!$B$34)^(Q$3-1)</f>
        <v>-1583.37451567545</v>
      </c>
      <c r="R10" s="7" t="n">
        <f aca="false">-Hypothèses!$B$28*(1+Hypothèses!$B$34)^(R$3-1)</f>
        <v>-1615.04200598896</v>
      </c>
      <c r="S10" s="7" t="n">
        <f aca="false">-Hypothèses!$B$28*(1+Hypothèses!$B$34)^(S$3-1)</f>
        <v>-1647.34284610873</v>
      </c>
      <c r="T10" s="7" t="n">
        <f aca="false">-Hypothèses!$B$28*(1+Hypothèses!$B$34)^(T$3-1)</f>
        <v>-1680.28970303091</v>
      </c>
      <c r="U10" s="7" t="n">
        <f aca="false">-Hypothèses!$B$28*(1+Hypothèses!$B$34)^(U$3-1)</f>
        <v>-1713.89549709153</v>
      </c>
      <c r="V10" s="7" t="n">
        <f aca="false">-Hypothèses!$B$28*(1+Hypothèses!$B$34)^(V$3-1)</f>
        <v>-1748.17340703336</v>
      </c>
      <c r="W10" s="7" t="n">
        <f aca="false">-Hypothèses!$B$28*(1+Hypothèses!$B$34)^(W$3-1)</f>
        <v>-1783.13687517403</v>
      </c>
      <c r="X10" s="7" t="n">
        <f aca="false">-Hypothèses!$B$28*(1+Hypothèses!$B$34)^(X$3-1)</f>
        <v>-1818.79961267751</v>
      </c>
      <c r="Y10" s="7" t="n">
        <f aca="false">-Hypothèses!$B$28*(1+Hypothèses!$B$34)^(Y$3-1)</f>
        <v>-1855.17560493106</v>
      </c>
      <c r="Z10" s="7" t="n">
        <f aca="false">-Hypothèses!$B$28*(1+Hypothèses!$B$34)^(Z$3-1)</f>
        <v>-1892.27911702968</v>
      </c>
      <c r="AA10" s="7" t="n">
        <f aca="false">-Hypothèses!$B$28*(1+Hypothèses!$B$34)^(AA$3-1)</f>
        <v>-1930.12469937027</v>
      </c>
    </row>
    <row r="11" customFormat="false" ht="15" hidden="false" customHeight="false" outlineLevel="0" collapsed="false">
      <c r="A11" s="6" t="s">
        <v>114</v>
      </c>
      <c r="B11" s="20"/>
      <c r="C11" s="7" t="n">
        <f aca="false">-Hypothèses!$B$29*(1+Hypothèses!$B$34)^(C$3-1)</f>
        <v>-1000</v>
      </c>
      <c r="D11" s="7" t="n">
        <f aca="false">-Hypothèses!$B$29*(1+Hypothèses!$B$34)^(D$3-1)</f>
        <v>-1020</v>
      </c>
      <c r="E11" s="7" t="n">
        <f aca="false">-Hypothèses!$B$29*(1+Hypothèses!$B$34)^(E$3-1)</f>
        <v>-1040.4</v>
      </c>
      <c r="F11" s="7" t="n">
        <f aca="false">-Hypothèses!$B$29*(1+Hypothèses!$B$34)^(F$3-1)</f>
        <v>-1061.208</v>
      </c>
      <c r="G11" s="7" t="n">
        <f aca="false">-Hypothèses!$B$29*(1+Hypothèses!$B$34)^(G$3-1)</f>
        <v>-1082.43216</v>
      </c>
      <c r="H11" s="7" t="n">
        <f aca="false">-Hypothèses!$B$29*(1+Hypothèses!$B$34)^(H$3-1)</f>
        <v>-1104.0808032</v>
      </c>
      <c r="I11" s="7" t="n">
        <f aca="false">-Hypothèses!$B$29*(1+Hypothèses!$B$34)^(I$3-1)</f>
        <v>-1126.162419264</v>
      </c>
      <c r="J11" s="7" t="n">
        <f aca="false">-Hypothèses!$B$29*(1+Hypothèses!$B$34)^(J$3-1)</f>
        <v>-1148.68566764928</v>
      </c>
      <c r="K11" s="7" t="n">
        <f aca="false">-Hypothèses!$B$29*(1+Hypothèses!$B$34)^(K$3-1)</f>
        <v>-1171.65938100227</v>
      </c>
      <c r="L11" s="7" t="n">
        <f aca="false">-Hypothèses!$B$29*(1+Hypothèses!$B$34)^(L$3-1)</f>
        <v>-1195.09256862231</v>
      </c>
      <c r="M11" s="7" t="n">
        <f aca="false">-Hypothèses!$B$29*(1+Hypothèses!$B$34)^(M$3-1)</f>
        <v>-1218.99441999476</v>
      </c>
      <c r="N11" s="7" t="n">
        <f aca="false">-Hypothèses!$B$29*(1+Hypothèses!$B$34)^(N$3-1)</f>
        <v>-1243.37430839465</v>
      </c>
      <c r="O11" s="7" t="n">
        <f aca="false">-Hypothèses!$B$29*(1+Hypothèses!$B$34)^(O$3-1)</f>
        <v>-1268.24179456255</v>
      </c>
      <c r="P11" s="7" t="n">
        <f aca="false">-Hypothèses!$B$29*(1+Hypothèses!$B$34)^(P$3-1)</f>
        <v>-1293.6066304538</v>
      </c>
      <c r="Q11" s="7" t="n">
        <f aca="false">-Hypothèses!$B$29*(1+Hypothèses!$B$34)^(Q$3-1)</f>
        <v>-1319.47876306287</v>
      </c>
      <c r="R11" s="7" t="n">
        <f aca="false">-Hypothèses!$B$29*(1+Hypothèses!$B$34)^(R$3-1)</f>
        <v>-1345.86833832413</v>
      </c>
      <c r="S11" s="7" t="n">
        <f aca="false">-Hypothèses!$B$29*(1+Hypothèses!$B$34)^(S$3-1)</f>
        <v>-1372.78570509061</v>
      </c>
      <c r="T11" s="7" t="n">
        <f aca="false">-Hypothèses!$B$29*(1+Hypothèses!$B$34)^(T$3-1)</f>
        <v>-1400.24141919243</v>
      </c>
      <c r="U11" s="7" t="n">
        <f aca="false">-Hypothèses!$B$29*(1+Hypothèses!$B$34)^(U$3-1)</f>
        <v>-1428.24624757627</v>
      </c>
      <c r="V11" s="7" t="n">
        <f aca="false">-Hypothèses!$B$29*(1+Hypothèses!$B$34)^(V$3-1)</f>
        <v>-1456.8111725278</v>
      </c>
      <c r="W11" s="7" t="n">
        <f aca="false">-Hypothèses!$B$29*(1+Hypothèses!$B$34)^(W$3-1)</f>
        <v>-1485.94739597836</v>
      </c>
      <c r="X11" s="7" t="n">
        <f aca="false">-Hypothèses!$B$29*(1+Hypothèses!$B$34)^(X$3-1)</f>
        <v>-1515.66634389792</v>
      </c>
      <c r="Y11" s="7" t="n">
        <f aca="false">-Hypothèses!$B$29*(1+Hypothèses!$B$34)^(Y$3-1)</f>
        <v>-1545.97967077588</v>
      </c>
      <c r="Z11" s="7" t="n">
        <f aca="false">-Hypothèses!$B$29*(1+Hypothèses!$B$34)^(Z$3-1)</f>
        <v>-1576.8992641914</v>
      </c>
      <c r="AA11" s="7" t="n">
        <f aca="false">-Hypothèses!$B$29*(1+Hypothèses!$B$34)^(AA$3-1)</f>
        <v>-1608.43724947523</v>
      </c>
    </row>
    <row r="12" customFormat="false" ht="15" hidden="false" customHeight="false" outlineLevel="0" collapsed="false">
      <c r="A12" s="6" t="s">
        <v>115</v>
      </c>
      <c r="B12" s="20"/>
      <c r="C12" s="7" t="n">
        <f aca="false">-Hypothèses!$B$30*(1+Hypothèses!$B$34)^(C$3-1)</f>
        <v>-200</v>
      </c>
      <c r="D12" s="7" t="n">
        <f aca="false">-Hypothèses!$B$30*(1+Hypothèses!$B$34)^(D$3-1)</f>
        <v>-204</v>
      </c>
      <c r="E12" s="7" t="n">
        <f aca="false">-Hypothèses!$B$30*(1+Hypothèses!$B$34)^(E$3-1)</f>
        <v>-208.08</v>
      </c>
      <c r="F12" s="7" t="n">
        <f aca="false">-Hypothèses!$B$30*(1+Hypothèses!$B$34)^(F$3-1)</f>
        <v>-212.2416</v>
      </c>
      <c r="G12" s="7" t="n">
        <f aca="false">-Hypothèses!$B$30*(1+Hypothèses!$B$34)^(G$3-1)</f>
        <v>-216.486432</v>
      </c>
      <c r="H12" s="7" t="n">
        <f aca="false">-Hypothèses!$B$30*(1+Hypothèses!$B$34)^(H$3-1)</f>
        <v>-220.81616064</v>
      </c>
      <c r="I12" s="7" t="n">
        <f aca="false">-Hypothèses!$B$30*(1+Hypothèses!$B$34)^(I$3-1)</f>
        <v>-225.2324838528</v>
      </c>
      <c r="J12" s="7" t="n">
        <f aca="false">-Hypothèses!$B$30*(1+Hypothèses!$B$34)^(J$3-1)</f>
        <v>-229.737133529856</v>
      </c>
      <c r="K12" s="7" t="n">
        <f aca="false">-Hypothèses!$B$30*(1+Hypothèses!$B$34)^(K$3-1)</f>
        <v>-234.331876200453</v>
      </c>
      <c r="L12" s="7" t="n">
        <f aca="false">-Hypothèses!$B$30*(1+Hypothèses!$B$34)^(L$3-1)</f>
        <v>-239.018513724462</v>
      </c>
      <c r="M12" s="7" t="n">
        <f aca="false">-Hypothèses!$B$30*(1+Hypothèses!$B$34)^(M$3-1)</f>
        <v>-243.798883998951</v>
      </c>
      <c r="N12" s="7" t="n">
        <f aca="false">-Hypothèses!$B$30*(1+Hypothèses!$B$34)^(N$3-1)</f>
        <v>-248.67486167893</v>
      </c>
      <c r="O12" s="7" t="n">
        <f aca="false">-Hypothèses!$B$30*(1+Hypothèses!$B$34)^(O$3-1)</f>
        <v>-253.648358912509</v>
      </c>
      <c r="P12" s="7" t="n">
        <f aca="false">-Hypothèses!$B$30*(1+Hypothèses!$B$34)^(P$3-1)</f>
        <v>-258.721326090759</v>
      </c>
      <c r="Q12" s="7" t="n">
        <f aca="false">-Hypothèses!$B$30*(1+Hypothèses!$B$34)^(Q$3-1)</f>
        <v>-263.895752612575</v>
      </c>
      <c r="R12" s="7" t="n">
        <f aca="false">-Hypothèses!$B$30*(1+Hypothèses!$B$34)^(R$3-1)</f>
        <v>-269.173667664826</v>
      </c>
      <c r="S12" s="7" t="n">
        <f aca="false">-Hypothèses!$B$30*(1+Hypothèses!$B$34)^(S$3-1)</f>
        <v>-274.557141018123</v>
      </c>
      <c r="T12" s="7" t="n">
        <f aca="false">-Hypothèses!$B$30*(1+Hypothèses!$B$34)^(T$3-1)</f>
        <v>-280.048283838485</v>
      </c>
      <c r="U12" s="7" t="n">
        <f aca="false">-Hypothèses!$B$30*(1+Hypothèses!$B$34)^(U$3-1)</f>
        <v>-285.649249515255</v>
      </c>
      <c r="V12" s="7" t="n">
        <f aca="false">-Hypothèses!$B$30*(1+Hypothèses!$B$34)^(V$3-1)</f>
        <v>-291.36223450556</v>
      </c>
      <c r="W12" s="7" t="n">
        <f aca="false">-Hypothèses!$B$30*(1+Hypothèses!$B$34)^(W$3-1)</f>
        <v>-297.189479195671</v>
      </c>
      <c r="X12" s="7" t="n">
        <f aca="false">-Hypothèses!$B$30*(1+Hypothèses!$B$34)^(X$3-1)</f>
        <v>-303.133268779584</v>
      </c>
      <c r="Y12" s="7" t="n">
        <f aca="false">-Hypothèses!$B$30*(1+Hypothèses!$B$34)^(Y$3-1)</f>
        <v>-309.195934155176</v>
      </c>
      <c r="Z12" s="7" t="n">
        <f aca="false">-Hypothèses!$B$30*(1+Hypothèses!$B$34)^(Z$3-1)</f>
        <v>-315.37985283828</v>
      </c>
      <c r="AA12" s="7" t="n">
        <f aca="false">-Hypothèses!$B$30*(1+Hypothèses!$B$34)^(AA$3-1)</f>
        <v>-321.687449895045</v>
      </c>
    </row>
    <row r="13" customFormat="false" ht="15" hidden="false" customHeight="false" outlineLevel="0" collapsed="false">
      <c r="A13" s="6" t="s">
        <v>116</v>
      </c>
      <c r="B13" s="20"/>
      <c r="C13" s="7" t="n">
        <f aca="false">-Hypothèses!$B$31*(1+Hypothèses!$B$34)^(C$3-1)</f>
        <v>-500</v>
      </c>
      <c r="D13" s="7" t="n">
        <f aca="false">-Hypothèses!$B$31*(1+Hypothèses!$B$34)^(D$3-1)</f>
        <v>-510</v>
      </c>
      <c r="E13" s="7" t="n">
        <f aca="false">-Hypothèses!$B$31*(1+Hypothèses!$B$34)^(E$3-1)</f>
        <v>-520.2</v>
      </c>
      <c r="F13" s="7" t="n">
        <f aca="false">-Hypothèses!$B$31*(1+Hypothèses!$B$34)^(F$3-1)</f>
        <v>-530.604</v>
      </c>
      <c r="G13" s="7" t="n">
        <f aca="false">-Hypothèses!$B$31*(1+Hypothèses!$B$34)^(G$3-1)</f>
        <v>-541.21608</v>
      </c>
      <c r="H13" s="7" t="n">
        <f aca="false">-Hypothèses!$B$31*(1+Hypothèses!$B$34)^(H$3-1)</f>
        <v>-552.0404016</v>
      </c>
      <c r="I13" s="7" t="n">
        <f aca="false">-Hypothèses!$B$31*(1+Hypothèses!$B$34)^(I$3-1)</f>
        <v>-563.081209632</v>
      </c>
      <c r="J13" s="7" t="n">
        <f aca="false">-Hypothèses!$B$31*(1+Hypothèses!$B$34)^(J$3-1)</f>
        <v>-574.34283382464</v>
      </c>
      <c r="K13" s="7" t="n">
        <f aca="false">-Hypothèses!$B$31*(1+Hypothèses!$B$34)^(K$3-1)</f>
        <v>-585.829690501133</v>
      </c>
      <c r="L13" s="7" t="n">
        <f aca="false">-Hypothèses!$B$31*(1+Hypothèses!$B$34)^(L$3-1)</f>
        <v>-597.546284311156</v>
      </c>
      <c r="M13" s="7" t="n">
        <f aca="false">-Hypothèses!$B$31*(1+Hypothèses!$B$34)^(M$3-1)</f>
        <v>-609.497209997379</v>
      </c>
      <c r="N13" s="7" t="n">
        <f aca="false">-Hypothèses!$B$31*(1+Hypothèses!$B$34)^(N$3-1)</f>
        <v>-621.687154197326</v>
      </c>
      <c r="O13" s="7" t="n">
        <f aca="false">-Hypothèses!$B$31*(1+Hypothèses!$B$34)^(O$3-1)</f>
        <v>-634.120897281273</v>
      </c>
      <c r="P13" s="7" t="n">
        <f aca="false">-Hypothèses!$B$31*(1+Hypothèses!$B$34)^(P$3-1)</f>
        <v>-646.803315226898</v>
      </c>
      <c r="Q13" s="7" t="n">
        <f aca="false">-Hypothèses!$B$31*(1+Hypothèses!$B$34)^(Q$3-1)</f>
        <v>-659.739381531436</v>
      </c>
      <c r="R13" s="7" t="n">
        <f aca="false">-Hypothèses!$B$31*(1+Hypothèses!$B$34)^(R$3-1)</f>
        <v>-672.934169162065</v>
      </c>
      <c r="S13" s="7" t="n">
        <f aca="false">-Hypothèses!$B$31*(1+Hypothèses!$B$34)^(S$3-1)</f>
        <v>-686.392852545306</v>
      </c>
      <c r="T13" s="7" t="n">
        <f aca="false">-Hypothèses!$B$31*(1+Hypothèses!$B$34)^(T$3-1)</f>
        <v>-700.120709596213</v>
      </c>
      <c r="U13" s="7" t="n">
        <f aca="false">-Hypothèses!$B$31*(1+Hypothèses!$B$34)^(U$3-1)</f>
        <v>-714.123123788137</v>
      </c>
      <c r="V13" s="7" t="n">
        <f aca="false">-Hypothèses!$B$31*(1+Hypothèses!$B$34)^(V$3-1)</f>
        <v>-728.405586263899</v>
      </c>
      <c r="W13" s="7" t="n">
        <f aca="false">-Hypothèses!$B$31*(1+Hypothèses!$B$34)^(W$3-1)</f>
        <v>-742.973697989178</v>
      </c>
      <c r="X13" s="7" t="n">
        <f aca="false">-Hypothèses!$B$31*(1+Hypothèses!$B$34)^(X$3-1)</f>
        <v>-757.833171948961</v>
      </c>
      <c r="Y13" s="7" t="n">
        <f aca="false">-Hypothèses!$B$31*(1+Hypothèses!$B$34)^(Y$3-1)</f>
        <v>-772.98983538794</v>
      </c>
      <c r="Z13" s="7" t="n">
        <f aca="false">-Hypothèses!$B$31*(1+Hypothèses!$B$34)^(Z$3-1)</f>
        <v>-788.449632095699</v>
      </c>
      <c r="AA13" s="7" t="n">
        <f aca="false">-Hypothèses!$B$31*(1+Hypothèses!$B$34)^(AA$3-1)</f>
        <v>-804.218624737613</v>
      </c>
    </row>
    <row r="14" customFormat="false" ht="15" hidden="false" customHeight="false" outlineLevel="0" collapsed="false">
      <c r="A14" s="6" t="s">
        <v>117</v>
      </c>
      <c r="B14" s="20"/>
      <c r="C14" s="7" t="n">
        <f aca="false">-Hypothèses!$B$32*(1+Hypothèses!$B$34)^(C$3-1)</f>
        <v>-700</v>
      </c>
      <c r="D14" s="7" t="n">
        <f aca="false">-Hypothèses!$B$32*(1+Hypothèses!$B$34)^(D$3-1)</f>
        <v>-714</v>
      </c>
      <c r="E14" s="7" t="n">
        <f aca="false">-Hypothèses!$B$32*(1+Hypothèses!$B$34)^(E$3-1)</f>
        <v>-728.28</v>
      </c>
      <c r="F14" s="7" t="n">
        <f aca="false">-Hypothèses!$B$32*(1+Hypothèses!$B$34)^(F$3-1)</f>
        <v>-742.8456</v>
      </c>
      <c r="G14" s="7" t="n">
        <f aca="false">-Hypothèses!$B$32*(1+Hypothèses!$B$34)^(G$3-1)</f>
        <v>-757.702512</v>
      </c>
      <c r="H14" s="7" t="n">
        <f aca="false">-Hypothèses!$B$32*(1+Hypothèses!$B$34)^(H$3-1)</f>
        <v>-772.85656224</v>
      </c>
      <c r="I14" s="7" t="n">
        <f aca="false">-Hypothèses!$B$32*(1+Hypothèses!$B$34)^(I$3-1)</f>
        <v>-788.3136934848</v>
      </c>
      <c r="J14" s="7" t="n">
        <f aca="false">-Hypothèses!$B$32*(1+Hypothèses!$B$34)^(J$3-1)</f>
        <v>-804.079967354496</v>
      </c>
      <c r="K14" s="7" t="n">
        <f aca="false">-Hypothèses!$B$32*(1+Hypothèses!$B$34)^(K$3-1)</f>
        <v>-820.161566701586</v>
      </c>
      <c r="L14" s="7" t="n">
        <f aca="false">-Hypothèses!$B$32*(1+Hypothèses!$B$34)^(L$3-1)</f>
        <v>-836.564798035618</v>
      </c>
      <c r="M14" s="7" t="n">
        <f aca="false">-Hypothèses!$B$32*(1+Hypothèses!$B$34)^(M$3-1)</f>
        <v>-853.29609399633</v>
      </c>
      <c r="N14" s="7" t="n">
        <f aca="false">-Hypothèses!$B$32*(1+Hypothèses!$B$34)^(N$3-1)</f>
        <v>-870.362015876257</v>
      </c>
      <c r="O14" s="7" t="n">
        <f aca="false">-Hypothèses!$B$32*(1+Hypothèses!$B$34)^(O$3-1)</f>
        <v>-887.769256193782</v>
      </c>
      <c r="P14" s="7" t="n">
        <f aca="false">-Hypothèses!$B$32*(1+Hypothèses!$B$34)^(P$3-1)</f>
        <v>-905.524641317658</v>
      </c>
      <c r="Q14" s="7" t="n">
        <f aca="false">-Hypothèses!$B$32*(1+Hypothèses!$B$34)^(Q$3-1)</f>
        <v>-923.635134144011</v>
      </c>
      <c r="R14" s="7" t="n">
        <f aca="false">-Hypothèses!$B$32*(1+Hypothèses!$B$34)^(R$3-1)</f>
        <v>-942.107836826891</v>
      </c>
      <c r="S14" s="7" t="n">
        <f aca="false">-Hypothèses!$B$32*(1+Hypothèses!$B$34)^(S$3-1)</f>
        <v>-960.949993563429</v>
      </c>
      <c r="T14" s="7" t="n">
        <f aca="false">-Hypothèses!$B$32*(1+Hypothèses!$B$34)^(T$3-1)</f>
        <v>-980.168993434697</v>
      </c>
      <c r="U14" s="7" t="n">
        <f aca="false">-Hypothèses!$B$32*(1+Hypothèses!$B$34)^(U$3-1)</f>
        <v>-999.772373303391</v>
      </c>
      <c r="V14" s="7" t="n">
        <f aca="false">-Hypothèses!$B$32*(1+Hypothèses!$B$34)^(V$3-1)</f>
        <v>-1019.76782076946</v>
      </c>
      <c r="W14" s="7" t="n">
        <f aca="false">-Hypothèses!$B$32*(1+Hypothèses!$B$34)^(W$3-1)</f>
        <v>-1040.16317718485</v>
      </c>
      <c r="X14" s="7" t="n">
        <f aca="false">-Hypothèses!$B$32*(1+Hypothèses!$B$34)^(X$3-1)</f>
        <v>-1060.96644072855</v>
      </c>
      <c r="Y14" s="7" t="n">
        <f aca="false">-Hypothèses!$B$32*(1+Hypothèses!$B$34)^(Y$3-1)</f>
        <v>-1082.18576954312</v>
      </c>
      <c r="Z14" s="7" t="n">
        <f aca="false">-Hypothèses!$B$32*(1+Hypothèses!$B$34)^(Z$3-1)</f>
        <v>-1103.82948493398</v>
      </c>
      <c r="AA14" s="7" t="n">
        <f aca="false">-Hypothèses!$B$32*(1+Hypothèses!$B$34)^(AA$3-1)</f>
        <v>-1125.90607463266</v>
      </c>
    </row>
    <row r="15" customFormat="false" ht="15" hidden="false" customHeight="false" outlineLevel="0" collapsed="false">
      <c r="A15" s="6" t="s">
        <v>118</v>
      </c>
      <c r="B15" s="20"/>
      <c r="C15" s="7" t="n">
        <f aca="false">-C8*Hypothèses!$B$33</f>
        <v>-1032.192</v>
      </c>
      <c r="D15" s="7" t="n">
        <f aca="false">-D8*Hypothèses!$B$33</f>
        <v>-1047.67488</v>
      </c>
      <c r="E15" s="7" t="n">
        <f aca="false">-E8*Hypothèses!$B$33</f>
        <v>-1063.3900032</v>
      </c>
      <c r="F15" s="7" t="n">
        <f aca="false">-F8*Hypothèses!$B$33</f>
        <v>-1079.340853248</v>
      </c>
      <c r="G15" s="7" t="n">
        <f aca="false">-G8*Hypothèses!$B$33</f>
        <v>-1095.53096604672</v>
      </c>
      <c r="H15" s="7" t="n">
        <f aca="false">-H8*Hypothèses!$B$33</f>
        <v>-1111.96393053742</v>
      </c>
      <c r="I15" s="7" t="n">
        <f aca="false">-I8*Hypothèses!$B$33</f>
        <v>-1128.64338949548</v>
      </c>
      <c r="J15" s="7" t="n">
        <f aca="false">-J8*Hypothèses!$B$33</f>
        <v>-1145.57304033791</v>
      </c>
      <c r="K15" s="7" t="n">
        <f aca="false">-K8*Hypothèses!$B$33</f>
        <v>-1162.75663594298</v>
      </c>
      <c r="L15" s="7" t="n">
        <f aca="false">-L8*Hypothèses!$B$33</f>
        <v>-1180.19798548213</v>
      </c>
      <c r="M15" s="7" t="n">
        <f aca="false">-M8*Hypothèses!$B$33</f>
        <v>-1197.90095526436</v>
      </c>
      <c r="N15" s="7" t="n">
        <f aca="false">-N8*Hypothèses!$B$33</f>
        <v>-1215.86946959332</v>
      </c>
      <c r="O15" s="7" t="n">
        <f aca="false">-O8*Hypothèses!$B$33</f>
        <v>-1234.10751163722</v>
      </c>
      <c r="P15" s="7" t="n">
        <f aca="false">-P8*Hypothèses!$B$33</f>
        <v>-1252.61912431178</v>
      </c>
      <c r="Q15" s="7" t="n">
        <f aca="false">-Q8*Hypothèses!$B$33</f>
        <v>-1271.40841117646</v>
      </c>
      <c r="R15" s="7" t="n">
        <f aca="false">-R8*Hypothèses!$B$33</f>
        <v>-1290.47953734411</v>
      </c>
      <c r="S15" s="7" t="n">
        <f aca="false">-S8*Hypothèses!$B$33</f>
        <v>-1309.83673040427</v>
      </c>
      <c r="T15" s="7" t="n">
        <f aca="false">-T8*Hypothèses!$B$33</f>
        <v>-1329.48428136033</v>
      </c>
      <c r="U15" s="7" t="n">
        <f aca="false">-U8*Hypothèses!$B$33</f>
        <v>-1349.42654558074</v>
      </c>
      <c r="V15" s="7" t="n">
        <f aca="false">-V8*Hypothèses!$B$33</f>
        <v>-1369.66794376445</v>
      </c>
      <c r="W15" s="7" t="n">
        <f aca="false">-W8*Hypothèses!$B$33</f>
        <v>-1390.21296292091</v>
      </c>
      <c r="X15" s="7" t="n">
        <f aca="false">-X8*Hypothèses!$B$33</f>
        <v>-1411.06615736473</v>
      </c>
      <c r="Y15" s="7" t="n">
        <f aca="false">-Y8*Hypothèses!$B$33</f>
        <v>-1432.2321497252</v>
      </c>
      <c r="Z15" s="7" t="n">
        <f aca="false">-Z8*Hypothèses!$B$33</f>
        <v>-1453.71563197107</v>
      </c>
      <c r="AA15" s="7" t="n">
        <f aca="false">-AA8*Hypothèses!$B$33</f>
        <v>-1475.52136645064</v>
      </c>
    </row>
    <row r="16" customFormat="false" ht="15" hidden="false" customHeight="false" outlineLevel="0" collapsed="false">
      <c r="A16" s="13" t="s">
        <v>119</v>
      </c>
      <c r="B16" s="33"/>
      <c r="C16" s="33" t="n">
        <f aca="false">SUM(C10:C15)</f>
        <v>-4632.192</v>
      </c>
      <c r="D16" s="33" t="n">
        <f aca="false">SUM(D10:D15)</f>
        <v>-4719.67488</v>
      </c>
      <c r="E16" s="33" t="n">
        <f aca="false">SUM(E10:E15)</f>
        <v>-4808.8300032</v>
      </c>
      <c r="F16" s="33" t="n">
        <f aca="false">SUM(F10:F15)</f>
        <v>-4899.689653248</v>
      </c>
      <c r="G16" s="33" t="n">
        <f aca="false">SUM(G10:G15)</f>
        <v>-4992.28674204672</v>
      </c>
      <c r="H16" s="33" t="n">
        <f aca="false">SUM(H10:H15)</f>
        <v>-5086.65482205742</v>
      </c>
      <c r="I16" s="33" t="n">
        <f aca="false">SUM(I10:I15)</f>
        <v>-5182.82809884588</v>
      </c>
      <c r="J16" s="33" t="n">
        <f aca="false">SUM(J10:J15)</f>
        <v>-5280.84144387532</v>
      </c>
      <c r="K16" s="33" t="n">
        <f aca="false">SUM(K10:K15)</f>
        <v>-5380.73040755114</v>
      </c>
      <c r="L16" s="33" t="n">
        <f aca="false">SUM(L10:L15)</f>
        <v>-5482.53123252245</v>
      </c>
      <c r="M16" s="33" t="n">
        <f aca="false">SUM(M10:M15)</f>
        <v>-5586.28086724549</v>
      </c>
      <c r="N16" s="33" t="n">
        <f aca="false">SUM(N10:N15)</f>
        <v>-5692.01697981407</v>
      </c>
      <c r="O16" s="33" t="n">
        <f aca="false">SUM(O10:O15)</f>
        <v>-5799.77797206239</v>
      </c>
      <c r="P16" s="33" t="n">
        <f aca="false">SUM(P10:P15)</f>
        <v>-5909.60299394545</v>
      </c>
      <c r="Q16" s="33" t="n">
        <f aca="false">SUM(Q10:Q15)</f>
        <v>-6021.5319582028</v>
      </c>
      <c r="R16" s="33" t="n">
        <f aca="false">SUM(R10:R15)</f>
        <v>-6135.60555531097</v>
      </c>
      <c r="S16" s="33" t="n">
        <f aca="false">SUM(S10:S15)</f>
        <v>-6251.86526873047</v>
      </c>
      <c r="T16" s="33" t="n">
        <f aca="false">SUM(T10:T15)</f>
        <v>-6370.35339045306</v>
      </c>
      <c r="U16" s="33" t="n">
        <f aca="false">SUM(U10:U15)</f>
        <v>-6491.11303685532</v>
      </c>
      <c r="V16" s="33" t="n">
        <f aca="false">SUM(V10:V15)</f>
        <v>-6614.18816486452</v>
      </c>
      <c r="W16" s="33" t="n">
        <f aca="false">SUM(W10:W15)</f>
        <v>-6739.62358844299</v>
      </c>
      <c r="X16" s="33" t="n">
        <f aca="false">SUM(X10:X15)</f>
        <v>-6867.46499539725</v>
      </c>
      <c r="Y16" s="33" t="n">
        <f aca="false">SUM(Y10:Y15)</f>
        <v>-6997.75896451837</v>
      </c>
      <c r="Z16" s="33" t="n">
        <f aca="false">SUM(Z10:Z15)</f>
        <v>-7130.55298306011</v>
      </c>
      <c r="AA16" s="33" t="n">
        <f aca="false">SUM(AA10:AA15)</f>
        <v>-7265.89546456146</v>
      </c>
    </row>
    <row r="17" customFormat="false" ht="15" hidden="false" customHeight="false" outlineLevel="0" collapsed="false">
      <c r="A17" s="13" t="s">
        <v>120</v>
      </c>
      <c r="B17" s="33"/>
      <c r="C17" s="33" t="n">
        <f aca="false">C8+C16</f>
        <v>10113.408</v>
      </c>
      <c r="D17" s="33" t="n">
        <f aca="false">D8+D16</f>
        <v>10247.10912</v>
      </c>
      <c r="E17" s="33" t="n">
        <f aca="false">E8+E16</f>
        <v>10382.4557568</v>
      </c>
      <c r="F17" s="33" t="n">
        <f aca="false">F8+F16</f>
        <v>10519.465393152</v>
      </c>
      <c r="G17" s="33" t="n">
        <f aca="false">G8+G16</f>
        <v>10658.1556300493</v>
      </c>
      <c r="H17" s="33" t="n">
        <f aca="false">H8+H16</f>
        <v>10798.54418562</v>
      </c>
      <c r="I17" s="33" t="n">
        <f aca="false">I8+I16</f>
        <v>10940.6488939467</v>
      </c>
      <c r="J17" s="33" t="n">
        <f aca="false">J8+J16</f>
        <v>11084.4877038092</v>
      </c>
      <c r="K17" s="33" t="n">
        <f aca="false">K8+K16</f>
        <v>11230.0786773486</v>
      </c>
      <c r="L17" s="33" t="n">
        <f aca="false">L8+L16</f>
        <v>11377.4399886508</v>
      </c>
      <c r="M17" s="33" t="n">
        <f aca="false">M8+M16</f>
        <v>11526.5899222454</v>
      </c>
      <c r="N17" s="33" t="n">
        <f aca="false">N8+N16</f>
        <v>11677.5468715191</v>
      </c>
      <c r="O17" s="33" t="n">
        <f aca="false">O8+O16</f>
        <v>11830.3293370408</v>
      </c>
      <c r="P17" s="33" t="n">
        <f aca="false">P8+P16</f>
        <v>11984.9559247943</v>
      </c>
      <c r="Q17" s="33" t="n">
        <f aca="false">Q8+Q16</f>
        <v>12141.445344318</v>
      </c>
      <c r="R17" s="33" t="n">
        <f aca="false">R8+R16</f>
        <v>12299.8164067477</v>
      </c>
      <c r="S17" s="33" t="n">
        <f aca="false">S8+S16</f>
        <v>12460.0880227591</v>
      </c>
      <c r="T17" s="33" t="n">
        <f aca="false">T8+T16</f>
        <v>12622.2792004088</v>
      </c>
      <c r="U17" s="33" t="n">
        <f aca="false">U8+U16</f>
        <v>12786.4090428695</v>
      </c>
      <c r="V17" s="33" t="n">
        <f aca="false">V8+V16</f>
        <v>12952.4967460561</v>
      </c>
      <c r="W17" s="33" t="n">
        <f aca="false">W8+W16</f>
        <v>13120.5615961415</v>
      </c>
      <c r="X17" s="33" t="n">
        <f aca="false">X8+X16</f>
        <v>13290.622966956</v>
      </c>
      <c r="Y17" s="33" t="n">
        <f aca="false">Y8+Y16</f>
        <v>13462.7003172702</v>
      </c>
      <c r="Z17" s="33" t="n">
        <f aca="false">Z8+Z16</f>
        <v>13636.8131879552</v>
      </c>
      <c r="AA17" s="33" t="n">
        <f aca="false">AA8+AA16</f>
        <v>13812.9811990191</v>
      </c>
    </row>
    <row r="18" customFormat="false" ht="15" hidden="false" customHeight="false" outlineLevel="0" collapsed="false">
      <c r="A18" s="4" t="s">
        <v>121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customFormat="false" ht="15" hidden="false" customHeight="false" outlineLevel="0" collapsed="false">
      <c r="A19" s="6" t="s">
        <v>122</v>
      </c>
      <c r="B19" s="20"/>
      <c r="C19" s="7" t="n">
        <f aca="false">IF(AND(Hypothèses!$B$15&gt;0,C$3&lt;=Hypothèses!$B$17),CUMIPMT(Hypothèses!$B$16/12,Hypothèses!$B$17*12,Hypothèses!$B$15,(C$3-1)*12+1,C$3*12,0),0)</f>
        <v>0</v>
      </c>
      <c r="D19" s="7" t="n">
        <f aca="false">IF(AND(Hypothèses!$B$15&gt;0,D$3&lt;=Hypothèses!$B$17),CUMIPMT(Hypothèses!$B$16/12,Hypothèses!$B$17*12,Hypothèses!$B$15,(D$3-1)*12+1,D$3*12,0),0)</f>
        <v>0</v>
      </c>
      <c r="E19" s="7" t="n">
        <f aca="false">IF(AND(Hypothèses!$B$15&gt;0,E$3&lt;=Hypothèses!$B$17),CUMIPMT(Hypothèses!$B$16/12,Hypothèses!$B$17*12,Hypothèses!$B$15,(E$3-1)*12+1,E$3*12,0),0)</f>
        <v>0</v>
      </c>
      <c r="F19" s="7" t="n">
        <f aca="false">IF(AND(Hypothèses!$B$15&gt;0,F$3&lt;=Hypothèses!$B$17),CUMIPMT(Hypothèses!$B$16/12,Hypothèses!$B$17*12,Hypothèses!$B$15,(F$3-1)*12+1,F$3*12,0),0)</f>
        <v>0</v>
      </c>
      <c r="G19" s="7" t="n">
        <f aca="false">IF(AND(Hypothèses!$B$15&gt;0,G$3&lt;=Hypothèses!$B$17),CUMIPMT(Hypothèses!$B$16/12,Hypothèses!$B$17*12,Hypothèses!$B$15,(G$3-1)*12+1,G$3*12,0),0)</f>
        <v>0</v>
      </c>
      <c r="H19" s="7" t="n">
        <f aca="false">IF(AND(Hypothèses!$B$15&gt;0,H$3&lt;=Hypothèses!$B$17),CUMIPMT(Hypothèses!$B$16/12,Hypothèses!$B$17*12,Hypothèses!$B$15,(H$3-1)*12+1,H$3*12,0),0)</f>
        <v>0</v>
      </c>
      <c r="I19" s="7" t="n">
        <f aca="false">IF(AND(Hypothèses!$B$15&gt;0,I$3&lt;=Hypothèses!$B$17),CUMIPMT(Hypothèses!$B$16/12,Hypothèses!$B$17*12,Hypothèses!$B$15,(I$3-1)*12+1,I$3*12,0),0)</f>
        <v>0</v>
      </c>
      <c r="J19" s="7" t="n">
        <f aca="false">IF(AND(Hypothèses!$B$15&gt;0,J$3&lt;=Hypothèses!$B$17),CUMIPMT(Hypothèses!$B$16/12,Hypothèses!$B$17*12,Hypothèses!$B$15,(J$3-1)*12+1,J$3*12,0),0)</f>
        <v>0</v>
      </c>
      <c r="K19" s="7" t="n">
        <f aca="false">IF(AND(Hypothèses!$B$15&gt;0,K$3&lt;=Hypothèses!$B$17),CUMIPMT(Hypothèses!$B$16/12,Hypothèses!$B$17*12,Hypothèses!$B$15,(K$3-1)*12+1,K$3*12,0),0)</f>
        <v>0</v>
      </c>
      <c r="L19" s="7" t="n">
        <f aca="false">IF(AND(Hypothèses!$B$15&gt;0,L$3&lt;=Hypothèses!$B$17),CUMIPMT(Hypothèses!$B$16/12,Hypothèses!$B$17*12,Hypothèses!$B$15,(L$3-1)*12+1,L$3*12,0),0)</f>
        <v>0</v>
      </c>
      <c r="M19" s="7" t="n">
        <f aca="false">IF(AND(Hypothèses!$B$15&gt;0,M$3&lt;=Hypothèses!$B$17),CUMIPMT(Hypothèses!$B$16/12,Hypothèses!$B$17*12,Hypothèses!$B$15,(M$3-1)*12+1,M$3*12,0),0)</f>
        <v>0</v>
      </c>
      <c r="N19" s="7" t="n">
        <f aca="false">IF(AND(Hypothèses!$B$15&gt;0,N$3&lt;=Hypothèses!$B$17),CUMIPMT(Hypothèses!$B$16/12,Hypothèses!$B$17*12,Hypothèses!$B$15,(N$3-1)*12+1,N$3*12,0),0)</f>
        <v>0</v>
      </c>
      <c r="O19" s="7" t="n">
        <f aca="false">IF(AND(Hypothèses!$B$15&gt;0,O$3&lt;=Hypothèses!$B$17),CUMIPMT(Hypothèses!$B$16/12,Hypothèses!$B$17*12,Hypothèses!$B$15,(O$3-1)*12+1,O$3*12,0),0)</f>
        <v>0</v>
      </c>
      <c r="P19" s="7" t="n">
        <f aca="false">IF(AND(Hypothèses!$B$15&gt;0,P$3&lt;=Hypothèses!$B$17),CUMIPMT(Hypothèses!$B$16/12,Hypothèses!$B$17*12,Hypothèses!$B$15,(P$3-1)*12+1,P$3*12,0),0)</f>
        <v>0</v>
      </c>
      <c r="Q19" s="7" t="n">
        <f aca="false">IF(AND(Hypothèses!$B$15&gt;0,Q$3&lt;=Hypothèses!$B$17),CUMIPMT(Hypothèses!$B$16/12,Hypothèses!$B$17*12,Hypothèses!$B$15,(Q$3-1)*12+1,Q$3*12,0),0)</f>
        <v>0</v>
      </c>
      <c r="R19" s="7" t="n">
        <f aca="false">IF(AND(Hypothèses!$B$15&gt;0,R$3&lt;=Hypothèses!$B$17),CUMIPMT(Hypothèses!$B$16/12,Hypothèses!$B$17*12,Hypothèses!$B$15,(R$3-1)*12+1,R$3*12,0),0)</f>
        <v>0</v>
      </c>
      <c r="S19" s="7" t="n">
        <f aca="false">IF(AND(Hypothèses!$B$15&gt;0,S$3&lt;=Hypothèses!$B$17),CUMIPMT(Hypothèses!$B$16/12,Hypothèses!$B$17*12,Hypothèses!$B$15,(S$3-1)*12+1,S$3*12,0),0)</f>
        <v>0</v>
      </c>
      <c r="T19" s="7" t="n">
        <f aca="false">IF(AND(Hypothèses!$B$15&gt;0,T$3&lt;=Hypothèses!$B$17),CUMIPMT(Hypothèses!$B$16/12,Hypothèses!$B$17*12,Hypothèses!$B$15,(T$3-1)*12+1,T$3*12,0),0)</f>
        <v>0</v>
      </c>
      <c r="U19" s="7" t="n">
        <f aca="false">IF(AND(Hypothèses!$B$15&gt;0,U$3&lt;=Hypothèses!$B$17),CUMIPMT(Hypothèses!$B$16/12,Hypothèses!$B$17*12,Hypothèses!$B$15,(U$3-1)*12+1,U$3*12,0),0)</f>
        <v>0</v>
      </c>
      <c r="V19" s="7" t="n">
        <f aca="false">IF(AND(Hypothèses!$B$15&gt;0,V$3&lt;=Hypothèses!$B$17),CUMIPMT(Hypothèses!$B$16/12,Hypothèses!$B$17*12,Hypothèses!$B$15,(V$3-1)*12+1,V$3*12,0),0)</f>
        <v>0</v>
      </c>
      <c r="W19" s="7" t="n">
        <f aca="false">IF(AND(Hypothèses!$B$15&gt;0,W$3&lt;=Hypothèses!$B$17),CUMIPMT(Hypothèses!$B$16/12,Hypothèses!$B$17*12,Hypothèses!$B$15,(W$3-1)*12+1,W$3*12,0),0)</f>
        <v>0</v>
      </c>
      <c r="X19" s="7" t="n">
        <f aca="false">IF(AND(Hypothèses!$B$15&gt;0,X$3&lt;=Hypothèses!$B$17),CUMIPMT(Hypothèses!$B$16/12,Hypothèses!$B$17*12,Hypothèses!$B$15,(X$3-1)*12+1,X$3*12,0),0)</f>
        <v>0</v>
      </c>
      <c r="Y19" s="7" t="n">
        <f aca="false">IF(AND(Hypothèses!$B$15&gt;0,Y$3&lt;=Hypothèses!$B$17),CUMIPMT(Hypothèses!$B$16/12,Hypothèses!$B$17*12,Hypothèses!$B$15,(Y$3-1)*12+1,Y$3*12,0),0)</f>
        <v>0</v>
      </c>
      <c r="Z19" s="7" t="n">
        <f aca="false">IF(AND(Hypothèses!$B$15&gt;0,Z$3&lt;=Hypothèses!$B$17),CUMIPMT(Hypothèses!$B$16/12,Hypothèses!$B$17*12,Hypothèses!$B$15,(Z$3-1)*12+1,Z$3*12,0),0)</f>
        <v>0</v>
      </c>
      <c r="AA19" s="7" t="n">
        <f aca="false">IF(AND(Hypothèses!$B$15&gt;0,AA$3&lt;=Hypothèses!$B$17),CUMIPMT(Hypothèses!$B$16/12,Hypothèses!$B$17*12,Hypothèses!$B$15,(AA$3-1)*12+1,AA$3*12,0),0)</f>
        <v>0</v>
      </c>
    </row>
    <row r="20" customFormat="false" ht="15" hidden="false" customHeight="false" outlineLevel="0" collapsed="false">
      <c r="A20" s="6" t="s">
        <v>123</v>
      </c>
      <c r="B20" s="20"/>
      <c r="C20" s="7" t="n">
        <f aca="false">IF(C$3&lt;=Hypothèses!$B$17,-Hypothèses!$B$15*Hypothèses!$B$18,0)</f>
        <v>-0</v>
      </c>
      <c r="D20" s="7" t="n">
        <f aca="false">IF(D$3&lt;=Hypothèses!$B$17,-Hypothèses!$B$15*Hypothèses!$B$18,0)</f>
        <v>-0</v>
      </c>
      <c r="E20" s="7" t="n">
        <f aca="false">IF(E$3&lt;=Hypothèses!$B$17,-Hypothèses!$B$15*Hypothèses!$B$18,0)</f>
        <v>-0</v>
      </c>
      <c r="F20" s="7" t="n">
        <f aca="false">IF(F$3&lt;=Hypothèses!$B$17,-Hypothèses!$B$15*Hypothèses!$B$18,0)</f>
        <v>-0</v>
      </c>
      <c r="G20" s="7" t="n">
        <f aca="false">IF(G$3&lt;=Hypothèses!$B$17,-Hypothèses!$B$15*Hypothèses!$B$18,0)</f>
        <v>-0</v>
      </c>
      <c r="H20" s="7" t="n">
        <f aca="false">IF(H$3&lt;=Hypothèses!$B$17,-Hypothèses!$B$15*Hypothèses!$B$18,0)</f>
        <v>-0</v>
      </c>
      <c r="I20" s="7" t="n">
        <f aca="false">IF(I$3&lt;=Hypothèses!$B$17,-Hypothèses!$B$15*Hypothèses!$B$18,0)</f>
        <v>-0</v>
      </c>
      <c r="J20" s="7" t="n">
        <f aca="false">IF(J$3&lt;=Hypothèses!$B$17,-Hypothèses!$B$15*Hypothèses!$B$18,0)</f>
        <v>-0</v>
      </c>
      <c r="K20" s="7" t="n">
        <f aca="false">IF(K$3&lt;=Hypothèses!$B$17,-Hypothèses!$B$15*Hypothèses!$B$18,0)</f>
        <v>-0</v>
      </c>
      <c r="L20" s="7" t="n">
        <f aca="false">IF(L$3&lt;=Hypothèses!$B$17,-Hypothèses!$B$15*Hypothèses!$B$18,0)</f>
        <v>-0</v>
      </c>
      <c r="M20" s="7" t="n">
        <f aca="false">IF(M$3&lt;=Hypothèses!$B$17,-Hypothèses!$B$15*Hypothèses!$B$18,0)</f>
        <v>-0</v>
      </c>
      <c r="N20" s="7" t="n">
        <f aca="false">IF(N$3&lt;=Hypothèses!$B$17,-Hypothèses!$B$15*Hypothèses!$B$18,0)</f>
        <v>-0</v>
      </c>
      <c r="O20" s="7" t="n">
        <f aca="false">IF(O$3&lt;=Hypothèses!$B$17,-Hypothèses!$B$15*Hypothèses!$B$18,0)</f>
        <v>-0</v>
      </c>
      <c r="P20" s="7" t="n">
        <f aca="false">IF(P$3&lt;=Hypothèses!$B$17,-Hypothèses!$B$15*Hypothèses!$B$18,0)</f>
        <v>-0</v>
      </c>
      <c r="Q20" s="7" t="n">
        <f aca="false">IF(Q$3&lt;=Hypothèses!$B$17,-Hypothèses!$B$15*Hypothèses!$B$18,0)</f>
        <v>-0</v>
      </c>
      <c r="R20" s="7" t="n">
        <f aca="false">IF(R$3&lt;=Hypothèses!$B$17,-Hypothèses!$B$15*Hypothèses!$B$18,0)</f>
        <v>-0</v>
      </c>
      <c r="S20" s="7" t="n">
        <f aca="false">IF(S$3&lt;=Hypothèses!$B$17,-Hypothèses!$B$15*Hypothèses!$B$18,0)</f>
        <v>-0</v>
      </c>
      <c r="T20" s="7" t="n">
        <f aca="false">IF(T$3&lt;=Hypothèses!$B$17,-Hypothèses!$B$15*Hypothèses!$B$18,0)</f>
        <v>-0</v>
      </c>
      <c r="U20" s="7" t="n">
        <f aca="false">IF(U$3&lt;=Hypothèses!$B$17,-Hypothèses!$B$15*Hypothèses!$B$18,0)</f>
        <v>-0</v>
      </c>
      <c r="V20" s="7" t="n">
        <f aca="false">IF(V$3&lt;=Hypothèses!$B$17,-Hypothèses!$B$15*Hypothèses!$B$18,0)</f>
        <v>-0</v>
      </c>
      <c r="W20" s="7" t="n">
        <f aca="false">IF(W$3&lt;=Hypothèses!$B$17,-Hypothèses!$B$15*Hypothèses!$B$18,0)</f>
        <v>-0</v>
      </c>
      <c r="X20" s="7" t="n">
        <f aca="false">IF(X$3&lt;=Hypothèses!$B$17,-Hypothèses!$B$15*Hypothèses!$B$18,0)</f>
        <v>-0</v>
      </c>
      <c r="Y20" s="7" t="n">
        <f aca="false">IF(Y$3&lt;=Hypothèses!$B$17,-Hypothèses!$B$15*Hypothèses!$B$18,0)</f>
        <v>-0</v>
      </c>
      <c r="Z20" s="7" t="n">
        <f aca="false">IF(Z$3&lt;=Hypothèses!$B$17,-Hypothèses!$B$15*Hypothèses!$B$18,0)</f>
        <v>-0</v>
      </c>
      <c r="AA20" s="7" t="n">
        <f aca="false">IF(AA$3&lt;=Hypothèses!$B$17,-Hypothèses!$B$15*Hypothèses!$B$18,0)</f>
        <v>-0</v>
      </c>
    </row>
    <row r="21" customFormat="false" ht="15" hidden="false" customHeight="false" outlineLevel="0" collapsed="false">
      <c r="A21" s="6" t="s">
        <v>124</v>
      </c>
      <c r="B21" s="20"/>
      <c r="C21" s="7" t="n">
        <f aca="false">IF(AND(Hypothèses!$B$15&gt;0,C$3&lt;=Hypothèses!$B$17),CUMPRINC(Hypothèses!$B$16/12,Hypothèses!$B$17*12,Hypothèses!$B$15,(C$3-1)*12+1,C$3*12,0),0)</f>
        <v>0</v>
      </c>
      <c r="D21" s="7" t="n">
        <f aca="false">IF(AND(Hypothèses!$B$15&gt;0,D$3&lt;=Hypothèses!$B$17),CUMPRINC(Hypothèses!$B$16/12,Hypothèses!$B$17*12,Hypothèses!$B$15,(D$3-1)*12+1,D$3*12,0),0)</f>
        <v>0</v>
      </c>
      <c r="E21" s="7" t="n">
        <f aca="false">IF(AND(Hypothèses!$B$15&gt;0,E$3&lt;=Hypothèses!$B$17),CUMPRINC(Hypothèses!$B$16/12,Hypothèses!$B$17*12,Hypothèses!$B$15,(E$3-1)*12+1,E$3*12,0),0)</f>
        <v>0</v>
      </c>
      <c r="F21" s="7" t="n">
        <f aca="false">IF(AND(Hypothèses!$B$15&gt;0,F$3&lt;=Hypothèses!$B$17),CUMPRINC(Hypothèses!$B$16/12,Hypothèses!$B$17*12,Hypothèses!$B$15,(F$3-1)*12+1,F$3*12,0),0)</f>
        <v>0</v>
      </c>
      <c r="G21" s="7" t="n">
        <f aca="false">IF(AND(Hypothèses!$B$15&gt;0,G$3&lt;=Hypothèses!$B$17),CUMPRINC(Hypothèses!$B$16/12,Hypothèses!$B$17*12,Hypothèses!$B$15,(G$3-1)*12+1,G$3*12,0),0)</f>
        <v>0</v>
      </c>
      <c r="H21" s="7" t="n">
        <f aca="false">IF(AND(Hypothèses!$B$15&gt;0,H$3&lt;=Hypothèses!$B$17),CUMPRINC(Hypothèses!$B$16/12,Hypothèses!$B$17*12,Hypothèses!$B$15,(H$3-1)*12+1,H$3*12,0),0)</f>
        <v>0</v>
      </c>
      <c r="I21" s="7" t="n">
        <f aca="false">IF(AND(Hypothèses!$B$15&gt;0,I$3&lt;=Hypothèses!$B$17),CUMPRINC(Hypothèses!$B$16/12,Hypothèses!$B$17*12,Hypothèses!$B$15,(I$3-1)*12+1,I$3*12,0),0)</f>
        <v>0</v>
      </c>
      <c r="J21" s="7" t="n">
        <f aca="false">IF(AND(Hypothèses!$B$15&gt;0,J$3&lt;=Hypothèses!$B$17),CUMPRINC(Hypothèses!$B$16/12,Hypothèses!$B$17*12,Hypothèses!$B$15,(J$3-1)*12+1,J$3*12,0),0)</f>
        <v>0</v>
      </c>
      <c r="K21" s="7" t="n">
        <f aca="false">IF(AND(Hypothèses!$B$15&gt;0,K$3&lt;=Hypothèses!$B$17),CUMPRINC(Hypothèses!$B$16/12,Hypothèses!$B$17*12,Hypothèses!$B$15,(K$3-1)*12+1,K$3*12,0),0)</f>
        <v>0</v>
      </c>
      <c r="L21" s="7" t="n">
        <f aca="false">IF(AND(Hypothèses!$B$15&gt;0,L$3&lt;=Hypothèses!$B$17),CUMPRINC(Hypothèses!$B$16/12,Hypothèses!$B$17*12,Hypothèses!$B$15,(L$3-1)*12+1,L$3*12,0),0)</f>
        <v>0</v>
      </c>
      <c r="M21" s="7" t="n">
        <f aca="false">IF(AND(Hypothèses!$B$15&gt;0,M$3&lt;=Hypothèses!$B$17),CUMPRINC(Hypothèses!$B$16/12,Hypothèses!$B$17*12,Hypothèses!$B$15,(M$3-1)*12+1,M$3*12,0),0)</f>
        <v>0</v>
      </c>
      <c r="N21" s="7" t="n">
        <f aca="false">IF(AND(Hypothèses!$B$15&gt;0,N$3&lt;=Hypothèses!$B$17),CUMPRINC(Hypothèses!$B$16/12,Hypothèses!$B$17*12,Hypothèses!$B$15,(N$3-1)*12+1,N$3*12,0),0)</f>
        <v>0</v>
      </c>
      <c r="O21" s="7" t="n">
        <f aca="false">IF(AND(Hypothèses!$B$15&gt;0,O$3&lt;=Hypothèses!$B$17),CUMPRINC(Hypothèses!$B$16/12,Hypothèses!$B$17*12,Hypothèses!$B$15,(O$3-1)*12+1,O$3*12,0),0)</f>
        <v>0</v>
      </c>
      <c r="P21" s="7" t="n">
        <f aca="false">IF(AND(Hypothèses!$B$15&gt;0,P$3&lt;=Hypothèses!$B$17),CUMPRINC(Hypothèses!$B$16/12,Hypothèses!$B$17*12,Hypothèses!$B$15,(P$3-1)*12+1,P$3*12,0),0)</f>
        <v>0</v>
      </c>
      <c r="Q21" s="7" t="n">
        <f aca="false">IF(AND(Hypothèses!$B$15&gt;0,Q$3&lt;=Hypothèses!$B$17),CUMPRINC(Hypothèses!$B$16/12,Hypothèses!$B$17*12,Hypothèses!$B$15,(Q$3-1)*12+1,Q$3*12,0),0)</f>
        <v>0</v>
      </c>
      <c r="R21" s="7" t="n">
        <f aca="false">IF(AND(Hypothèses!$B$15&gt;0,R$3&lt;=Hypothèses!$B$17),CUMPRINC(Hypothèses!$B$16/12,Hypothèses!$B$17*12,Hypothèses!$B$15,(R$3-1)*12+1,R$3*12,0),0)</f>
        <v>0</v>
      </c>
      <c r="S21" s="7" t="n">
        <f aca="false">IF(AND(Hypothèses!$B$15&gt;0,S$3&lt;=Hypothèses!$B$17),CUMPRINC(Hypothèses!$B$16/12,Hypothèses!$B$17*12,Hypothèses!$B$15,(S$3-1)*12+1,S$3*12,0),0)</f>
        <v>0</v>
      </c>
      <c r="T21" s="7" t="n">
        <f aca="false">IF(AND(Hypothèses!$B$15&gt;0,T$3&lt;=Hypothèses!$B$17),CUMPRINC(Hypothèses!$B$16/12,Hypothèses!$B$17*12,Hypothèses!$B$15,(T$3-1)*12+1,T$3*12,0),0)</f>
        <v>0</v>
      </c>
      <c r="U21" s="7" t="n">
        <f aca="false">IF(AND(Hypothèses!$B$15&gt;0,U$3&lt;=Hypothèses!$B$17),CUMPRINC(Hypothèses!$B$16/12,Hypothèses!$B$17*12,Hypothèses!$B$15,(U$3-1)*12+1,U$3*12,0),0)</f>
        <v>0</v>
      </c>
      <c r="V21" s="7" t="n">
        <f aca="false">IF(AND(Hypothèses!$B$15&gt;0,V$3&lt;=Hypothèses!$B$17),CUMPRINC(Hypothèses!$B$16/12,Hypothèses!$B$17*12,Hypothèses!$B$15,(V$3-1)*12+1,V$3*12,0),0)</f>
        <v>0</v>
      </c>
      <c r="W21" s="7" t="n">
        <f aca="false">IF(AND(Hypothèses!$B$15&gt;0,W$3&lt;=Hypothèses!$B$17),CUMPRINC(Hypothèses!$B$16/12,Hypothèses!$B$17*12,Hypothèses!$B$15,(W$3-1)*12+1,W$3*12,0),0)</f>
        <v>0</v>
      </c>
      <c r="X21" s="7" t="n">
        <f aca="false">IF(AND(Hypothèses!$B$15&gt;0,X$3&lt;=Hypothèses!$B$17),CUMPRINC(Hypothèses!$B$16/12,Hypothèses!$B$17*12,Hypothèses!$B$15,(X$3-1)*12+1,X$3*12,0),0)</f>
        <v>0</v>
      </c>
      <c r="Y21" s="7" t="n">
        <f aca="false">IF(AND(Hypothèses!$B$15&gt;0,Y$3&lt;=Hypothèses!$B$17),CUMPRINC(Hypothèses!$B$16/12,Hypothèses!$B$17*12,Hypothèses!$B$15,(Y$3-1)*12+1,Y$3*12,0),0)</f>
        <v>0</v>
      </c>
      <c r="Z21" s="7" t="n">
        <f aca="false">IF(AND(Hypothèses!$B$15&gt;0,Z$3&lt;=Hypothèses!$B$17),CUMPRINC(Hypothèses!$B$16/12,Hypothèses!$B$17*12,Hypothèses!$B$15,(Z$3-1)*12+1,Z$3*12,0),0)</f>
        <v>0</v>
      </c>
      <c r="AA21" s="7" t="n">
        <f aca="false">IF(AND(Hypothèses!$B$15&gt;0,AA$3&lt;=Hypothèses!$B$17),CUMPRINC(Hypothèses!$B$16/12,Hypothèses!$B$17*12,Hypothèses!$B$15,(AA$3-1)*12+1,AA$3*12,0),0)</f>
        <v>0</v>
      </c>
    </row>
    <row r="22" customFormat="false" ht="15" hidden="false" customHeight="false" outlineLevel="0" collapsed="false">
      <c r="A22" s="6" t="s">
        <v>125</v>
      </c>
      <c r="B22" s="7" t="n">
        <f aca="false">Hypothèses!$B$15</f>
        <v>0</v>
      </c>
      <c r="C22" s="7" t="n">
        <f aca="false">IF(C$3&lt;=Hypothèses!$B$17,MAX(0,Hypothèses!$B$15+SUM($C21:C21)),0)</f>
        <v>0</v>
      </c>
      <c r="D22" s="7" t="n">
        <f aca="false">IF(D$3&lt;=Hypothèses!$B$17,MAX(0,Hypothèses!$B$15+SUM($C21:D21)),0)</f>
        <v>0</v>
      </c>
      <c r="E22" s="7" t="n">
        <f aca="false">IF(E$3&lt;=Hypothèses!$B$17,MAX(0,Hypothèses!$B$15+SUM($C21:E21)),0)</f>
        <v>0</v>
      </c>
      <c r="F22" s="7" t="n">
        <f aca="false">IF(F$3&lt;=Hypothèses!$B$17,MAX(0,Hypothèses!$B$15+SUM($C21:F21)),0)</f>
        <v>0</v>
      </c>
      <c r="G22" s="7" t="n">
        <f aca="false">IF(G$3&lt;=Hypothèses!$B$17,MAX(0,Hypothèses!$B$15+SUM($C21:G21)),0)</f>
        <v>0</v>
      </c>
      <c r="H22" s="7" t="n">
        <f aca="false">IF(H$3&lt;=Hypothèses!$B$17,MAX(0,Hypothèses!$B$15+SUM($C21:H21)),0)</f>
        <v>0</v>
      </c>
      <c r="I22" s="7" t="n">
        <f aca="false">IF(I$3&lt;=Hypothèses!$B$17,MAX(0,Hypothèses!$B$15+SUM($C21:I21)),0)</f>
        <v>0</v>
      </c>
      <c r="J22" s="7" t="n">
        <f aca="false">IF(J$3&lt;=Hypothèses!$B$17,MAX(0,Hypothèses!$B$15+SUM($C21:J21)),0)</f>
        <v>0</v>
      </c>
      <c r="K22" s="7" t="n">
        <f aca="false">IF(K$3&lt;=Hypothèses!$B$17,MAX(0,Hypothèses!$B$15+SUM($C21:K21)),0)</f>
        <v>0</v>
      </c>
      <c r="L22" s="7" t="n">
        <f aca="false">IF(L$3&lt;=Hypothèses!$B$17,MAX(0,Hypothèses!$B$15+SUM($C21:L21)),0)</f>
        <v>0</v>
      </c>
      <c r="M22" s="7" t="n">
        <f aca="false">IF(M$3&lt;=Hypothèses!$B$17,MAX(0,Hypothèses!$B$15+SUM($C21:M21)),0)</f>
        <v>0</v>
      </c>
      <c r="N22" s="7" t="n">
        <f aca="false">IF(N$3&lt;=Hypothèses!$B$17,MAX(0,Hypothèses!$B$15+SUM($C21:N21)),0)</f>
        <v>0</v>
      </c>
      <c r="O22" s="7" t="n">
        <f aca="false">IF(O$3&lt;=Hypothèses!$B$17,MAX(0,Hypothèses!$B$15+SUM($C21:O21)),0)</f>
        <v>0</v>
      </c>
      <c r="P22" s="7" t="n">
        <f aca="false">IF(P$3&lt;=Hypothèses!$B$17,MAX(0,Hypothèses!$B$15+SUM($C21:P21)),0)</f>
        <v>0</v>
      </c>
      <c r="Q22" s="7" t="n">
        <f aca="false">IF(Q$3&lt;=Hypothèses!$B$17,MAX(0,Hypothèses!$B$15+SUM($C21:Q21)),0)</f>
        <v>0</v>
      </c>
      <c r="R22" s="7" t="n">
        <f aca="false">IF(R$3&lt;=Hypothèses!$B$17,MAX(0,Hypothèses!$B$15+SUM($C21:R21)),0)</f>
        <v>0</v>
      </c>
      <c r="S22" s="7" t="n">
        <f aca="false">IF(S$3&lt;=Hypothèses!$B$17,MAX(0,Hypothèses!$B$15+SUM($C21:S21)),0)</f>
        <v>0</v>
      </c>
      <c r="T22" s="7" t="n">
        <f aca="false">IF(T$3&lt;=Hypothèses!$B$17,MAX(0,Hypothèses!$B$15+SUM($C21:T21)),0)</f>
        <v>0</v>
      </c>
      <c r="U22" s="7" t="n">
        <f aca="false">IF(U$3&lt;=Hypothèses!$B$17,MAX(0,Hypothèses!$B$15+SUM($C21:U21)),0)</f>
        <v>0</v>
      </c>
      <c r="V22" s="7" t="n">
        <f aca="false">IF(V$3&lt;=Hypothèses!$B$17,MAX(0,Hypothèses!$B$15+SUM($C21:V21)),0)</f>
        <v>0</v>
      </c>
      <c r="W22" s="7" t="n">
        <f aca="false">IF(W$3&lt;=Hypothèses!$B$17,MAX(0,Hypothèses!$B$15+SUM($C21:W21)),0)</f>
        <v>0</v>
      </c>
      <c r="X22" s="7" t="n">
        <f aca="false">IF(X$3&lt;=Hypothèses!$B$17,MAX(0,Hypothèses!$B$15+SUM($C21:X21)),0)</f>
        <v>0</v>
      </c>
      <c r="Y22" s="7" t="n">
        <f aca="false">IF(Y$3&lt;=Hypothèses!$B$17,MAX(0,Hypothèses!$B$15+SUM($C21:Y21)),0)</f>
        <v>0</v>
      </c>
      <c r="Z22" s="7" t="n">
        <f aca="false">IF(Z$3&lt;=Hypothèses!$B$17,MAX(0,Hypothèses!$B$15+SUM($C21:Z21)),0)</f>
        <v>0</v>
      </c>
      <c r="AA22" s="7" t="n">
        <f aca="false">IF(AA$3&lt;=Hypothèses!$B$17,MAX(0,Hypothèses!$B$15+SUM($C21:AA21)),0)</f>
        <v>0</v>
      </c>
    </row>
    <row r="23" customFormat="false" ht="15" hidden="false" customHeight="false" outlineLevel="0" collapsed="false">
      <c r="A23" s="4" t="s">
        <v>126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customFormat="false" ht="15" hidden="false" customHeight="false" outlineLevel="0" collapsed="false">
      <c r="A24" s="6" t="s">
        <v>127</v>
      </c>
      <c r="B24" s="20"/>
      <c r="C24" s="7" t="n">
        <f aca="false">IF(C$3&lt;=Hypothèses!$B$39,Hypothèses!$B$8*Hypothèses!$B$38/Hypothèses!$B$39,0)+IF(C$3&lt;=Hypothèses!$B$40,Hypothèses!$B$11/Hypothèses!$B$40,0)</f>
        <v>9500</v>
      </c>
      <c r="D24" s="7" t="n">
        <f aca="false">IF(D$3&lt;=Hypothèses!$B$39,Hypothèses!$B$8*Hypothèses!$B$38/Hypothèses!$B$39,0)+IF(D$3&lt;=Hypothèses!$B$40,Hypothèses!$B$11/Hypothèses!$B$40,0)</f>
        <v>9500</v>
      </c>
      <c r="E24" s="7" t="n">
        <f aca="false">IF(E$3&lt;=Hypothèses!$B$39,Hypothèses!$B$8*Hypothèses!$B$38/Hypothèses!$B$39,0)+IF(E$3&lt;=Hypothèses!$B$40,Hypothèses!$B$11/Hypothèses!$B$40,0)</f>
        <v>9500</v>
      </c>
      <c r="F24" s="7" t="n">
        <f aca="false">IF(F$3&lt;=Hypothèses!$B$39,Hypothèses!$B$8*Hypothèses!$B$38/Hypothèses!$B$39,0)+IF(F$3&lt;=Hypothèses!$B$40,Hypothèses!$B$11/Hypothèses!$B$40,0)</f>
        <v>9500</v>
      </c>
      <c r="G24" s="7" t="n">
        <f aca="false">IF(G$3&lt;=Hypothèses!$B$39,Hypothèses!$B$8*Hypothèses!$B$38/Hypothèses!$B$39,0)+IF(G$3&lt;=Hypothèses!$B$40,Hypothèses!$B$11/Hypothèses!$B$40,0)</f>
        <v>9500</v>
      </c>
      <c r="H24" s="7" t="n">
        <f aca="false">IF(H$3&lt;=Hypothèses!$B$39,Hypothèses!$B$8*Hypothèses!$B$38/Hypothèses!$B$39,0)+IF(H$3&lt;=Hypothèses!$B$40,Hypothèses!$B$11/Hypothèses!$B$40,0)</f>
        <v>9500</v>
      </c>
      <c r="I24" s="7" t="n">
        <f aca="false">IF(I$3&lt;=Hypothèses!$B$39,Hypothèses!$B$8*Hypothèses!$B$38/Hypothèses!$B$39,0)+IF(I$3&lt;=Hypothèses!$B$40,Hypothèses!$B$11/Hypothèses!$B$40,0)</f>
        <v>9500</v>
      </c>
      <c r="J24" s="7" t="n">
        <f aca="false">IF(J$3&lt;=Hypothèses!$B$39,Hypothèses!$B$8*Hypothèses!$B$38/Hypothèses!$B$39,0)+IF(J$3&lt;=Hypothèses!$B$40,Hypothèses!$B$11/Hypothèses!$B$40,0)</f>
        <v>9500</v>
      </c>
      <c r="K24" s="7" t="n">
        <f aca="false">IF(K$3&lt;=Hypothèses!$B$39,Hypothèses!$B$8*Hypothèses!$B$38/Hypothèses!$B$39,0)+IF(K$3&lt;=Hypothèses!$B$40,Hypothèses!$B$11/Hypothèses!$B$40,0)</f>
        <v>9500</v>
      </c>
      <c r="L24" s="7" t="n">
        <f aca="false">IF(L$3&lt;=Hypothèses!$B$39,Hypothèses!$B$8*Hypothèses!$B$38/Hypothèses!$B$39,0)+IF(L$3&lt;=Hypothèses!$B$40,Hypothèses!$B$11/Hypothèses!$B$40,0)</f>
        <v>9500</v>
      </c>
      <c r="M24" s="7" t="n">
        <f aca="false">IF(M$3&lt;=Hypothèses!$B$39,Hypothèses!$B$8*Hypothèses!$B$38/Hypothèses!$B$39,0)+IF(M$3&lt;=Hypothèses!$B$40,Hypothèses!$B$11/Hypothèses!$B$40,0)</f>
        <v>8500</v>
      </c>
      <c r="N24" s="7" t="n">
        <f aca="false">IF(N$3&lt;=Hypothèses!$B$39,Hypothèses!$B$8*Hypothèses!$B$38/Hypothèses!$B$39,0)+IF(N$3&lt;=Hypothèses!$B$40,Hypothèses!$B$11/Hypothèses!$B$40,0)</f>
        <v>8500</v>
      </c>
      <c r="O24" s="7" t="n">
        <f aca="false">IF(O$3&lt;=Hypothèses!$B$39,Hypothèses!$B$8*Hypothèses!$B$38/Hypothèses!$B$39,0)+IF(O$3&lt;=Hypothèses!$B$40,Hypothèses!$B$11/Hypothèses!$B$40,0)</f>
        <v>8500</v>
      </c>
      <c r="P24" s="7" t="n">
        <f aca="false">IF(P$3&lt;=Hypothèses!$B$39,Hypothèses!$B$8*Hypothèses!$B$38/Hypothèses!$B$39,0)+IF(P$3&lt;=Hypothèses!$B$40,Hypothèses!$B$11/Hypothèses!$B$40,0)</f>
        <v>8500</v>
      </c>
      <c r="Q24" s="7" t="n">
        <f aca="false">IF(Q$3&lt;=Hypothèses!$B$39,Hypothèses!$B$8*Hypothèses!$B$38/Hypothèses!$B$39,0)+IF(Q$3&lt;=Hypothèses!$B$40,Hypothèses!$B$11/Hypothèses!$B$40,0)</f>
        <v>8500</v>
      </c>
      <c r="R24" s="7" t="n">
        <f aca="false">IF(R$3&lt;=Hypothèses!$B$39,Hypothèses!$B$8*Hypothèses!$B$38/Hypothèses!$B$39,0)+IF(R$3&lt;=Hypothèses!$B$40,Hypothèses!$B$11/Hypothèses!$B$40,0)</f>
        <v>8500</v>
      </c>
      <c r="S24" s="7" t="n">
        <f aca="false">IF(S$3&lt;=Hypothèses!$B$39,Hypothèses!$B$8*Hypothèses!$B$38/Hypothèses!$B$39,0)+IF(S$3&lt;=Hypothèses!$B$40,Hypothèses!$B$11/Hypothèses!$B$40,0)</f>
        <v>8500</v>
      </c>
      <c r="T24" s="7" t="n">
        <f aca="false">IF(T$3&lt;=Hypothèses!$B$39,Hypothèses!$B$8*Hypothèses!$B$38/Hypothèses!$B$39,0)+IF(T$3&lt;=Hypothèses!$B$40,Hypothèses!$B$11/Hypothèses!$B$40,0)</f>
        <v>8500</v>
      </c>
      <c r="U24" s="7" t="n">
        <f aca="false">IF(U$3&lt;=Hypothèses!$B$39,Hypothèses!$B$8*Hypothèses!$B$38/Hypothèses!$B$39,0)+IF(U$3&lt;=Hypothèses!$B$40,Hypothèses!$B$11/Hypothèses!$B$40,0)</f>
        <v>8500</v>
      </c>
      <c r="V24" s="7" t="n">
        <f aca="false">IF(V$3&lt;=Hypothèses!$B$39,Hypothèses!$B$8*Hypothèses!$B$38/Hypothèses!$B$39,0)+IF(V$3&lt;=Hypothèses!$B$40,Hypothèses!$B$11/Hypothèses!$B$40,0)</f>
        <v>8500</v>
      </c>
      <c r="W24" s="7" t="n">
        <f aca="false">IF(W$3&lt;=Hypothèses!$B$39,Hypothèses!$B$8*Hypothèses!$B$38/Hypothèses!$B$39,0)+IF(W$3&lt;=Hypothèses!$B$40,Hypothèses!$B$11/Hypothèses!$B$40,0)</f>
        <v>8500</v>
      </c>
      <c r="X24" s="7" t="n">
        <f aca="false">IF(X$3&lt;=Hypothèses!$B$39,Hypothèses!$B$8*Hypothèses!$B$38/Hypothèses!$B$39,0)+IF(X$3&lt;=Hypothèses!$B$40,Hypothèses!$B$11/Hypothèses!$B$40,0)</f>
        <v>8500</v>
      </c>
      <c r="Y24" s="7" t="n">
        <f aca="false">IF(Y$3&lt;=Hypothèses!$B$39,Hypothèses!$B$8*Hypothèses!$B$38/Hypothèses!$B$39,0)+IF(Y$3&lt;=Hypothèses!$B$40,Hypothèses!$B$11/Hypothèses!$B$40,0)</f>
        <v>8500</v>
      </c>
      <c r="Z24" s="7" t="n">
        <f aca="false">IF(Z$3&lt;=Hypothèses!$B$39,Hypothèses!$B$8*Hypothèses!$B$38/Hypothèses!$B$39,0)+IF(Z$3&lt;=Hypothèses!$B$40,Hypothèses!$B$11/Hypothèses!$B$40,0)</f>
        <v>8500</v>
      </c>
      <c r="AA24" s="7" t="n">
        <f aca="false">IF(AA$3&lt;=Hypothèses!$B$39,Hypothèses!$B$8*Hypothèses!$B$38/Hypothèses!$B$39,0)+IF(AA$3&lt;=Hypothèses!$B$40,Hypothèses!$B$11/Hypothèses!$B$40,0)</f>
        <v>8500</v>
      </c>
    </row>
    <row r="25" customFormat="false" ht="15" hidden="false" customHeight="false" outlineLevel="0" collapsed="false">
      <c r="A25" s="6" t="s">
        <v>128</v>
      </c>
      <c r="B25" s="20"/>
      <c r="C25" s="20" t="n">
        <f aca="false">C17+C19+C20-C24</f>
        <v>613.407999999999</v>
      </c>
      <c r="D25" s="20" t="n">
        <f aca="false">D17+D19+D20-D24</f>
        <v>747.109119999997</v>
      </c>
      <c r="E25" s="20" t="n">
        <f aca="false">E17+E19+E20-E24</f>
        <v>882.455756799995</v>
      </c>
      <c r="F25" s="20" t="n">
        <f aca="false">F17+F19+F20-F24</f>
        <v>1019.46539315199</v>
      </c>
      <c r="G25" s="20" t="n">
        <f aca="false">G17+G19+G20-G24</f>
        <v>1158.15563004928</v>
      </c>
      <c r="H25" s="20" t="n">
        <f aca="false">H17+H19+H20-H24</f>
        <v>1298.54418562001</v>
      </c>
      <c r="I25" s="20" t="n">
        <f aca="false">I17+I19+I20-I24</f>
        <v>1440.64889394671</v>
      </c>
      <c r="J25" s="20" t="n">
        <f aca="false">J17+J19+J20-J24</f>
        <v>1584.48770380916</v>
      </c>
      <c r="K25" s="20" t="n">
        <f aca="false">K17+K19+K20-K24</f>
        <v>1730.07867734861</v>
      </c>
      <c r="L25" s="20" t="n">
        <f aca="false">L17+L19+L20-L24</f>
        <v>1877.43998865079</v>
      </c>
      <c r="M25" s="20" t="n">
        <f aca="false">M17+M19+M20-M24</f>
        <v>3026.58992224535</v>
      </c>
      <c r="N25" s="20" t="n">
        <f aca="false">N17+N19+N20-N24</f>
        <v>3177.54687151913</v>
      </c>
      <c r="O25" s="20" t="n">
        <f aca="false">O17+O19+O20-O24</f>
        <v>3330.32933704081</v>
      </c>
      <c r="P25" s="20" t="n">
        <f aca="false">P17+P19+P20-P24</f>
        <v>3484.95592479429</v>
      </c>
      <c r="Q25" s="20" t="n">
        <f aca="false">Q17+Q19+Q20-Q24</f>
        <v>3641.44534431804</v>
      </c>
      <c r="R25" s="20" t="n">
        <f aca="false">R17+R19+R20-R24</f>
        <v>3799.81640674767</v>
      </c>
      <c r="S25" s="20" t="n">
        <f aca="false">S17+S19+S20-S24</f>
        <v>3960.08802275905</v>
      </c>
      <c r="T25" s="20" t="n">
        <f aca="false">T17+T19+T20-T24</f>
        <v>4122.2792004088</v>
      </c>
      <c r="U25" s="20" t="n">
        <f aca="false">U17+U19+U20-U24</f>
        <v>4286.40904286947</v>
      </c>
      <c r="V25" s="20" t="n">
        <f aca="false">V17+V19+V20-V24</f>
        <v>4452.49674605614</v>
      </c>
      <c r="W25" s="20" t="n">
        <f aca="false">W17+W19+W20-W24</f>
        <v>4620.56159614148</v>
      </c>
      <c r="X25" s="20" t="n">
        <f aca="false">X17+X19+X20-X24</f>
        <v>4790.62296695599</v>
      </c>
      <c r="Y25" s="20" t="n">
        <f aca="false">Y17+Y19+Y20-Y24</f>
        <v>4962.70031727016</v>
      </c>
      <c r="Z25" s="20" t="n">
        <f aca="false">Z17+Z19+Z20-Z24</f>
        <v>5136.81318795525</v>
      </c>
      <c r="AA25" s="20" t="n">
        <f aca="false">AA17+AA19+AA20-AA24</f>
        <v>5312.98119901913</v>
      </c>
    </row>
    <row r="26" customFormat="false" ht="15" hidden="false" customHeight="false" outlineLevel="0" collapsed="false">
      <c r="A26" s="6" t="s">
        <v>129</v>
      </c>
      <c r="B26" s="20"/>
      <c r="C26" s="20" t="n">
        <v>0</v>
      </c>
      <c r="D26" s="20" t="n">
        <f aca="false">C28</f>
        <v>0</v>
      </c>
      <c r="E26" s="20" t="n">
        <f aca="false">D28</f>
        <v>0</v>
      </c>
      <c r="F26" s="20" t="n">
        <f aca="false">E28</f>
        <v>0</v>
      </c>
      <c r="G26" s="20" t="n">
        <f aca="false">F28</f>
        <v>0</v>
      </c>
      <c r="H26" s="20" t="n">
        <f aca="false">G28</f>
        <v>0</v>
      </c>
      <c r="I26" s="20" t="n">
        <f aca="false">H28</f>
        <v>0</v>
      </c>
      <c r="J26" s="20" t="n">
        <f aca="false">I28</f>
        <v>0</v>
      </c>
      <c r="K26" s="20" t="n">
        <f aca="false">J28</f>
        <v>0</v>
      </c>
      <c r="L26" s="20" t="n">
        <f aca="false">K28</f>
        <v>0</v>
      </c>
      <c r="M26" s="20" t="n">
        <f aca="false">L28</f>
        <v>0</v>
      </c>
      <c r="N26" s="20" t="n">
        <f aca="false">M28</f>
        <v>0</v>
      </c>
      <c r="O26" s="20" t="n">
        <f aca="false">N28</f>
        <v>0</v>
      </c>
      <c r="P26" s="20" t="n">
        <f aca="false">O28</f>
        <v>0</v>
      </c>
      <c r="Q26" s="20" t="n">
        <f aca="false">P28</f>
        <v>0</v>
      </c>
      <c r="R26" s="20" t="n">
        <f aca="false">Q28</f>
        <v>0</v>
      </c>
      <c r="S26" s="20" t="n">
        <f aca="false">R28</f>
        <v>0</v>
      </c>
      <c r="T26" s="20" t="n">
        <f aca="false">S28</f>
        <v>0</v>
      </c>
      <c r="U26" s="20" t="n">
        <f aca="false">T28</f>
        <v>0</v>
      </c>
      <c r="V26" s="20" t="n">
        <f aca="false">U28</f>
        <v>0</v>
      </c>
      <c r="W26" s="20" t="n">
        <f aca="false">V28</f>
        <v>0</v>
      </c>
      <c r="X26" s="20" t="n">
        <f aca="false">W28</f>
        <v>0</v>
      </c>
      <c r="Y26" s="20" t="n">
        <f aca="false">X28</f>
        <v>0</v>
      </c>
      <c r="Z26" s="20" t="n">
        <f aca="false">Y28</f>
        <v>0</v>
      </c>
      <c r="AA26" s="20" t="n">
        <f aca="false">Z28</f>
        <v>0</v>
      </c>
    </row>
    <row r="27" customFormat="false" ht="15" hidden="false" customHeight="false" outlineLevel="0" collapsed="false">
      <c r="A27" s="6" t="s">
        <v>130</v>
      </c>
      <c r="B27" s="20"/>
      <c r="C27" s="20" t="n">
        <f aca="false">MAX(0,C25-C26)</f>
        <v>613.407999999999</v>
      </c>
      <c r="D27" s="20" t="n">
        <f aca="false">MAX(0,D25-D26)</f>
        <v>747.109119999997</v>
      </c>
      <c r="E27" s="20" t="n">
        <f aca="false">MAX(0,E25-E26)</f>
        <v>882.455756799995</v>
      </c>
      <c r="F27" s="20" t="n">
        <f aca="false">MAX(0,F25-F26)</f>
        <v>1019.46539315199</v>
      </c>
      <c r="G27" s="20" t="n">
        <f aca="false">MAX(0,G25-G26)</f>
        <v>1158.15563004928</v>
      </c>
      <c r="H27" s="20" t="n">
        <f aca="false">MAX(0,H25-H26)</f>
        <v>1298.54418562001</v>
      </c>
      <c r="I27" s="20" t="n">
        <f aca="false">MAX(0,I25-I26)</f>
        <v>1440.64889394671</v>
      </c>
      <c r="J27" s="20" t="n">
        <f aca="false">MAX(0,J25-J26)</f>
        <v>1584.48770380916</v>
      </c>
      <c r="K27" s="20" t="n">
        <f aca="false">MAX(0,K25-K26)</f>
        <v>1730.07867734861</v>
      </c>
      <c r="L27" s="20" t="n">
        <f aca="false">MAX(0,L25-L26)</f>
        <v>1877.43998865079</v>
      </c>
      <c r="M27" s="20" t="n">
        <f aca="false">MAX(0,M25-M26)</f>
        <v>3026.58992224535</v>
      </c>
      <c r="N27" s="20" t="n">
        <f aca="false">MAX(0,N25-N26)</f>
        <v>3177.54687151913</v>
      </c>
      <c r="O27" s="20" t="n">
        <f aca="false">MAX(0,O25-O26)</f>
        <v>3330.32933704081</v>
      </c>
      <c r="P27" s="20" t="n">
        <f aca="false">MAX(0,P25-P26)</f>
        <v>3484.95592479429</v>
      </c>
      <c r="Q27" s="20" t="n">
        <f aca="false">MAX(0,Q25-Q26)</f>
        <v>3641.44534431804</v>
      </c>
      <c r="R27" s="20" t="n">
        <f aca="false">MAX(0,R25-R26)</f>
        <v>3799.81640674767</v>
      </c>
      <c r="S27" s="20" t="n">
        <f aca="false">MAX(0,S25-S26)</f>
        <v>3960.08802275905</v>
      </c>
      <c r="T27" s="20" t="n">
        <f aca="false">MAX(0,T25-T26)</f>
        <v>4122.2792004088</v>
      </c>
      <c r="U27" s="20" t="n">
        <f aca="false">MAX(0,U25-U26)</f>
        <v>4286.40904286947</v>
      </c>
      <c r="V27" s="20" t="n">
        <f aca="false">MAX(0,V25-V26)</f>
        <v>4452.49674605614</v>
      </c>
      <c r="W27" s="20" t="n">
        <f aca="false">MAX(0,W25-W26)</f>
        <v>4620.56159614148</v>
      </c>
      <c r="X27" s="20" t="n">
        <f aca="false">MAX(0,X25-X26)</f>
        <v>4790.62296695599</v>
      </c>
      <c r="Y27" s="20" t="n">
        <f aca="false">MAX(0,Y25-Y26)</f>
        <v>4962.70031727016</v>
      </c>
      <c r="Z27" s="20" t="n">
        <f aca="false">MAX(0,Z25-Z26)</f>
        <v>5136.81318795525</v>
      </c>
      <c r="AA27" s="20" t="n">
        <f aca="false">MAX(0,AA25-AA26)</f>
        <v>5312.98119901913</v>
      </c>
    </row>
    <row r="28" customFormat="false" ht="15" hidden="false" customHeight="false" outlineLevel="0" collapsed="false">
      <c r="A28" s="6" t="s">
        <v>131</v>
      </c>
      <c r="B28" s="20"/>
      <c r="C28" s="20" t="n">
        <f aca="false">MAX(0,C26-C25)</f>
        <v>0</v>
      </c>
      <c r="D28" s="20" t="n">
        <f aca="false">MAX(0,D26-D25)</f>
        <v>0</v>
      </c>
      <c r="E28" s="20" t="n">
        <f aca="false">MAX(0,E26-E25)</f>
        <v>0</v>
      </c>
      <c r="F28" s="20" t="n">
        <f aca="false">MAX(0,F26-F25)</f>
        <v>0</v>
      </c>
      <c r="G28" s="20" t="n">
        <f aca="false">MAX(0,G26-G25)</f>
        <v>0</v>
      </c>
      <c r="H28" s="20" t="n">
        <f aca="false">MAX(0,H26-H25)</f>
        <v>0</v>
      </c>
      <c r="I28" s="20" t="n">
        <f aca="false">MAX(0,I26-I25)</f>
        <v>0</v>
      </c>
      <c r="J28" s="20" t="n">
        <f aca="false">MAX(0,J26-J25)</f>
        <v>0</v>
      </c>
      <c r="K28" s="20" t="n">
        <f aca="false">MAX(0,K26-K25)</f>
        <v>0</v>
      </c>
      <c r="L28" s="20" t="n">
        <f aca="false">MAX(0,L26-L25)</f>
        <v>0</v>
      </c>
      <c r="M28" s="20" t="n">
        <f aca="false">MAX(0,M26-M25)</f>
        <v>0</v>
      </c>
      <c r="N28" s="20" t="n">
        <f aca="false">MAX(0,N26-N25)</f>
        <v>0</v>
      </c>
      <c r="O28" s="20" t="n">
        <f aca="false">MAX(0,O26-O25)</f>
        <v>0</v>
      </c>
      <c r="P28" s="20" t="n">
        <f aca="false">MAX(0,P26-P25)</f>
        <v>0</v>
      </c>
      <c r="Q28" s="20" t="n">
        <f aca="false">MAX(0,Q26-Q25)</f>
        <v>0</v>
      </c>
      <c r="R28" s="20" t="n">
        <f aca="false">MAX(0,R26-R25)</f>
        <v>0</v>
      </c>
      <c r="S28" s="20" t="n">
        <f aca="false">MAX(0,S26-S25)</f>
        <v>0</v>
      </c>
      <c r="T28" s="20" t="n">
        <f aca="false">MAX(0,T26-T25)</f>
        <v>0</v>
      </c>
      <c r="U28" s="20" t="n">
        <f aca="false">MAX(0,U26-U25)</f>
        <v>0</v>
      </c>
      <c r="V28" s="20" t="n">
        <f aca="false">MAX(0,V26-V25)</f>
        <v>0</v>
      </c>
      <c r="W28" s="20" t="n">
        <f aca="false">MAX(0,W26-W25)</f>
        <v>0</v>
      </c>
      <c r="X28" s="20" t="n">
        <f aca="false">MAX(0,X26-X25)</f>
        <v>0</v>
      </c>
      <c r="Y28" s="20" t="n">
        <f aca="false">MAX(0,Y26-Y25)</f>
        <v>0</v>
      </c>
      <c r="Z28" s="20" t="n">
        <f aca="false">MAX(0,Z26-Z25)</f>
        <v>0</v>
      </c>
      <c r="AA28" s="20" t="n">
        <f aca="false">MAX(0,AA26-AA25)</f>
        <v>0</v>
      </c>
    </row>
    <row r="29" customFormat="false" ht="15" hidden="false" customHeight="false" outlineLevel="0" collapsed="false">
      <c r="A29" s="6" t="s">
        <v>132</v>
      </c>
      <c r="B29" s="20"/>
      <c r="C29" s="7" t="n">
        <f aca="false">-C27*(Hypothèses!$B$36+Hypothèses!$B$37)</f>
        <v>-289.528576</v>
      </c>
      <c r="D29" s="7" t="n">
        <f aca="false">-D27*(Hypothèses!$B$36+Hypothèses!$B$37)</f>
        <v>-352.635504639999</v>
      </c>
      <c r="E29" s="7" t="n">
        <f aca="false">-E27*(Hypothèses!$B$36+Hypothèses!$B$37)</f>
        <v>-416.519117209597</v>
      </c>
      <c r="F29" s="7" t="n">
        <f aca="false">-F27*(Hypothèses!$B$36+Hypothèses!$B$37)</f>
        <v>-481.187665567741</v>
      </c>
      <c r="G29" s="7" t="n">
        <f aca="false">-G27*(Hypothèses!$B$36+Hypothèses!$B$37)</f>
        <v>-546.649457383258</v>
      </c>
      <c r="H29" s="7" t="n">
        <f aca="false">-H27*(Hypothèses!$B$36+Hypothèses!$B$37)</f>
        <v>-612.912855612645</v>
      </c>
      <c r="I29" s="7" t="n">
        <f aca="false">-I27*(Hypothèses!$B$36+Hypothèses!$B$37)</f>
        <v>-679.986277942847</v>
      </c>
      <c r="J29" s="7" t="n">
        <f aca="false">-J27*(Hypothèses!$B$36+Hypothèses!$B$37)</f>
        <v>-747.878196197924</v>
      </c>
      <c r="K29" s="7" t="n">
        <f aca="false">-K27*(Hypothèses!$B$36+Hypothèses!$B$37)</f>
        <v>-816.597135708544</v>
      </c>
      <c r="L29" s="7" t="n">
        <f aca="false">-L27*(Hypothèses!$B$36+Hypothèses!$B$37)</f>
        <v>-886.151674643174</v>
      </c>
      <c r="M29" s="7" t="n">
        <f aca="false">-M27*(Hypothèses!$B$36+Hypothèses!$B$37)</f>
        <v>-1428.55044329981</v>
      </c>
      <c r="N29" s="7" t="n">
        <f aca="false">-N27*(Hypothèses!$B$36+Hypothèses!$B$37)</f>
        <v>-1499.80212335703</v>
      </c>
      <c r="O29" s="7" t="n">
        <f aca="false">-O27*(Hypothèses!$B$36+Hypothèses!$B$37)</f>
        <v>-1571.91544708326</v>
      </c>
      <c r="P29" s="7" t="n">
        <f aca="false">-P27*(Hypothèses!$B$36+Hypothèses!$B$37)</f>
        <v>-1644.89919650291</v>
      </c>
      <c r="Q29" s="7" t="n">
        <f aca="false">-Q27*(Hypothèses!$B$36+Hypothèses!$B$37)</f>
        <v>-1718.76220251811</v>
      </c>
      <c r="R29" s="7" t="n">
        <f aca="false">-R27*(Hypothèses!$B$36+Hypothèses!$B$37)</f>
        <v>-1793.5133439849</v>
      </c>
      <c r="S29" s="7" t="n">
        <f aca="false">-S27*(Hypothèses!$B$36+Hypothèses!$B$37)</f>
        <v>-1869.16154674227</v>
      </c>
      <c r="T29" s="7" t="n">
        <f aca="false">-T27*(Hypothèses!$B$36+Hypothèses!$B$37)</f>
        <v>-1945.71578259296</v>
      </c>
      <c r="U29" s="7" t="n">
        <f aca="false">-U27*(Hypothèses!$B$36+Hypothèses!$B$37)</f>
        <v>-2023.18506823439</v>
      </c>
      <c r="V29" s="7" t="n">
        <f aca="false">-V27*(Hypothèses!$B$36+Hypothèses!$B$37)</f>
        <v>-2101.5784641385</v>
      </c>
      <c r="W29" s="7" t="n">
        <f aca="false">-W27*(Hypothèses!$B$36+Hypothèses!$B$37)</f>
        <v>-2180.90507337878</v>
      </c>
      <c r="X29" s="7" t="n">
        <f aca="false">-X27*(Hypothèses!$B$36+Hypothèses!$B$37)</f>
        <v>-2261.17404040323</v>
      </c>
      <c r="Y29" s="7" t="n">
        <f aca="false">-Y27*(Hypothèses!$B$36+Hypothèses!$B$37)</f>
        <v>-2342.39454975152</v>
      </c>
      <c r="Z29" s="7" t="n">
        <f aca="false">-Z27*(Hypothèses!$B$36+Hypothèses!$B$37)</f>
        <v>-2424.57582471488</v>
      </c>
      <c r="AA29" s="7" t="n">
        <f aca="false">-AA27*(Hypothèses!$B$36+Hypothèses!$B$37)</f>
        <v>-2507.72712593703</v>
      </c>
    </row>
    <row r="30" customFormat="false" ht="15" hidden="false" customHeight="false" outlineLevel="0" collapsed="false">
      <c r="A30" s="4" t="s">
        <v>133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customFormat="false" ht="15" hidden="false" customHeight="false" outlineLevel="0" collapsed="false">
      <c r="A31" s="6" t="s">
        <v>134</v>
      </c>
      <c r="B31" s="20"/>
      <c r="C31" s="20" t="n">
        <f aca="false">C17+C19+C20+C21</f>
        <v>10113.408</v>
      </c>
      <c r="D31" s="20" t="n">
        <f aca="false">D17+D19+D20+D21</f>
        <v>10247.10912</v>
      </c>
      <c r="E31" s="20" t="n">
        <f aca="false">E17+E19+E20+E21</f>
        <v>10382.4557568</v>
      </c>
      <c r="F31" s="20" t="n">
        <f aca="false">F17+F19+F20+F21</f>
        <v>10519.465393152</v>
      </c>
      <c r="G31" s="20" t="n">
        <f aca="false">G17+G19+G20+G21</f>
        <v>10658.1556300493</v>
      </c>
      <c r="H31" s="20" t="n">
        <f aca="false">H17+H19+H20+H21</f>
        <v>10798.54418562</v>
      </c>
      <c r="I31" s="20" t="n">
        <f aca="false">I17+I19+I20+I21</f>
        <v>10940.6488939467</v>
      </c>
      <c r="J31" s="20" t="n">
        <f aca="false">J17+J19+J20+J21</f>
        <v>11084.4877038092</v>
      </c>
      <c r="K31" s="20" t="n">
        <f aca="false">K17+K19+K20+K21</f>
        <v>11230.0786773486</v>
      </c>
      <c r="L31" s="20" t="n">
        <f aca="false">L17+L19+L20+L21</f>
        <v>11377.4399886508</v>
      </c>
      <c r="M31" s="20" t="n">
        <f aca="false">M17+M19+M20+M21</f>
        <v>11526.5899222454</v>
      </c>
      <c r="N31" s="20" t="n">
        <f aca="false">N17+N19+N20+N21</f>
        <v>11677.5468715191</v>
      </c>
      <c r="O31" s="20" t="n">
        <f aca="false">O17+O19+O20+O21</f>
        <v>11830.3293370408</v>
      </c>
      <c r="P31" s="20" t="n">
        <f aca="false">P17+P19+P20+P21</f>
        <v>11984.9559247943</v>
      </c>
      <c r="Q31" s="20" t="n">
        <f aca="false">Q17+Q19+Q20+Q21</f>
        <v>12141.445344318</v>
      </c>
      <c r="R31" s="20" t="n">
        <f aca="false">R17+R19+R20+R21</f>
        <v>12299.8164067477</v>
      </c>
      <c r="S31" s="20" t="n">
        <f aca="false">S17+S19+S20+S21</f>
        <v>12460.0880227591</v>
      </c>
      <c r="T31" s="20" t="n">
        <f aca="false">T17+T19+T20+T21</f>
        <v>12622.2792004088</v>
      </c>
      <c r="U31" s="20" t="n">
        <f aca="false">U17+U19+U20+U21</f>
        <v>12786.4090428695</v>
      </c>
      <c r="V31" s="20" t="n">
        <f aca="false">V17+V19+V20+V21</f>
        <v>12952.4967460561</v>
      </c>
      <c r="W31" s="20" t="n">
        <f aca="false">W17+W19+W20+W21</f>
        <v>13120.5615961415</v>
      </c>
      <c r="X31" s="20" t="n">
        <f aca="false">X17+X19+X20+X21</f>
        <v>13290.622966956</v>
      </c>
      <c r="Y31" s="20" t="n">
        <f aca="false">Y17+Y19+Y20+Y21</f>
        <v>13462.7003172702</v>
      </c>
      <c r="Z31" s="20" t="n">
        <f aca="false">Z17+Z19+Z20+Z21</f>
        <v>13636.8131879552</v>
      </c>
      <c r="AA31" s="20" t="n">
        <f aca="false">AA17+AA19+AA20+AA21</f>
        <v>13812.9811990191</v>
      </c>
    </row>
    <row r="32" customFormat="false" ht="15" hidden="false" customHeight="false" outlineLevel="0" collapsed="false">
      <c r="A32" s="13" t="s">
        <v>135</v>
      </c>
      <c r="B32" s="33"/>
      <c r="C32" s="33" t="n">
        <f aca="false">C31+C29</f>
        <v>9823.879424</v>
      </c>
      <c r="D32" s="33" t="n">
        <f aca="false">D31+D29</f>
        <v>9894.47361536</v>
      </c>
      <c r="E32" s="33" t="n">
        <f aca="false">E31+E29</f>
        <v>9965.9366395904</v>
      </c>
      <c r="F32" s="33" t="n">
        <f aca="false">F31+F29</f>
        <v>10038.2777275843</v>
      </c>
      <c r="G32" s="33" t="n">
        <f aca="false">G31+G29</f>
        <v>10111.506172666</v>
      </c>
      <c r="H32" s="33" t="n">
        <f aca="false">H31+H29</f>
        <v>10185.6313300074</v>
      </c>
      <c r="I32" s="33" t="n">
        <f aca="false">I31+I29</f>
        <v>10260.6626160039</v>
      </c>
      <c r="J32" s="33" t="n">
        <f aca="false">J31+J29</f>
        <v>10336.6095076112</v>
      </c>
      <c r="K32" s="33" t="n">
        <f aca="false">K31+K29</f>
        <v>10413.4815416401</v>
      </c>
      <c r="L32" s="33" t="n">
        <f aca="false">L31+L29</f>
        <v>10491.2883140076</v>
      </c>
      <c r="M32" s="33" t="n">
        <f aca="false">M31+M29</f>
        <v>10098.0394789455</v>
      </c>
      <c r="N32" s="33" t="n">
        <f aca="false">N31+N29</f>
        <v>10177.7447481621</v>
      </c>
      <c r="O32" s="33" t="n">
        <f aca="false">O31+O29</f>
        <v>10258.4138899575</v>
      </c>
      <c r="P32" s="33" t="n">
        <f aca="false">P31+P29</f>
        <v>10340.0567282914</v>
      </c>
      <c r="Q32" s="33" t="n">
        <f aca="false">Q31+Q29</f>
        <v>10422.6831417999</v>
      </c>
      <c r="R32" s="33" t="n">
        <f aca="false">R31+R29</f>
        <v>10506.3030627628</v>
      </c>
      <c r="S32" s="33" t="n">
        <f aca="false">S31+S29</f>
        <v>10590.9264760168</v>
      </c>
      <c r="T32" s="33" t="n">
        <f aca="false">T31+T29</f>
        <v>10676.5634178158</v>
      </c>
      <c r="U32" s="33" t="n">
        <f aca="false">U31+U29</f>
        <v>10763.2239746351</v>
      </c>
      <c r="V32" s="33" t="n">
        <f aca="false">V31+V29</f>
        <v>10850.9182819176</v>
      </c>
      <c r="W32" s="33" t="n">
        <f aca="false">W31+W29</f>
        <v>10939.6565227627</v>
      </c>
      <c r="X32" s="33" t="n">
        <f aca="false">X31+X29</f>
        <v>11029.4489265528</v>
      </c>
      <c r="Y32" s="33" t="n">
        <f aca="false">Y31+Y29</f>
        <v>11120.3057675186</v>
      </c>
      <c r="Z32" s="33" t="n">
        <f aca="false">Z31+Z29</f>
        <v>11212.2373632404</v>
      </c>
      <c r="AA32" s="33" t="n">
        <f aca="false">AA31+AA29</f>
        <v>11305.2540730821</v>
      </c>
    </row>
    <row r="33" customFormat="false" ht="15" hidden="false" customHeight="false" outlineLevel="0" collapsed="false">
      <c r="A33" s="4" t="s">
        <v>136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customFormat="false" ht="15" hidden="false" customHeight="false" outlineLevel="0" collapsed="false">
      <c r="A34" s="6" t="s">
        <v>137</v>
      </c>
      <c r="B34" s="20"/>
      <c r="C34" s="7" t="n">
        <f aca="false">IF(C$3=Hypothèses!$B$43,Hypothèses!$B$8*(1+Hypothèses!$B$44)^C$3,0)</f>
        <v>0</v>
      </c>
      <c r="D34" s="7" t="n">
        <f aca="false">IF(D$3=Hypothèses!$B$43,Hypothèses!$B$8*(1+Hypothèses!$B$44)^D$3,0)</f>
        <v>0</v>
      </c>
      <c r="E34" s="7" t="n">
        <f aca="false">IF(E$3=Hypothèses!$B$43,Hypothèses!$B$8*(1+Hypothèses!$B$44)^E$3,0)</f>
        <v>0</v>
      </c>
      <c r="F34" s="7" t="n">
        <f aca="false">IF(F$3=Hypothèses!$B$43,Hypothèses!$B$8*(1+Hypothèses!$B$44)^F$3,0)</f>
        <v>0</v>
      </c>
      <c r="G34" s="7" t="n">
        <f aca="false">IF(G$3=Hypothèses!$B$43,Hypothèses!$B$8*(1+Hypothèses!$B$44)^G$3,0)</f>
        <v>0</v>
      </c>
      <c r="H34" s="7" t="n">
        <f aca="false">IF(H$3=Hypothèses!$B$43,Hypothèses!$B$8*(1+Hypothèses!$B$44)^H$3,0)</f>
        <v>0</v>
      </c>
      <c r="I34" s="7" t="n">
        <f aca="false">IF(I$3=Hypothèses!$B$43,Hypothèses!$B$8*(1+Hypothèses!$B$44)^I$3,0)</f>
        <v>0</v>
      </c>
      <c r="J34" s="7" t="n">
        <f aca="false">IF(J$3=Hypothèses!$B$43,Hypothèses!$B$8*(1+Hypothèses!$B$44)^J$3,0)</f>
        <v>0</v>
      </c>
      <c r="K34" s="7" t="n">
        <f aca="false">IF(K$3=Hypothèses!$B$43,Hypothèses!$B$8*(1+Hypothèses!$B$44)^K$3,0)</f>
        <v>0</v>
      </c>
      <c r="L34" s="7" t="n">
        <f aca="false">IF(L$3=Hypothèses!$B$43,Hypothèses!$B$8*(1+Hypothèses!$B$44)^L$3,0)</f>
        <v>0</v>
      </c>
      <c r="M34" s="7" t="n">
        <f aca="false">IF(M$3=Hypothèses!$B$43,Hypothèses!$B$8*(1+Hypothèses!$B$44)^M$3,0)</f>
        <v>0</v>
      </c>
      <c r="N34" s="7" t="n">
        <f aca="false">IF(N$3=Hypothèses!$B$43,Hypothèses!$B$8*(1+Hypothèses!$B$44)^N$3,0)</f>
        <v>0</v>
      </c>
      <c r="O34" s="7" t="n">
        <f aca="false">IF(O$3=Hypothèses!$B$43,Hypothèses!$B$8*(1+Hypothèses!$B$44)^O$3,0)</f>
        <v>0</v>
      </c>
      <c r="P34" s="7" t="n">
        <f aca="false">IF(P$3=Hypothèses!$B$43,Hypothèses!$B$8*(1+Hypothèses!$B$44)^P$3,0)</f>
        <v>0</v>
      </c>
      <c r="Q34" s="7" t="n">
        <f aca="false">IF(Q$3=Hypothèses!$B$43,Hypothèses!$B$8*(1+Hypothèses!$B$44)^Q$3,0)</f>
        <v>0</v>
      </c>
      <c r="R34" s="7" t="n">
        <f aca="false">IF(R$3=Hypothèses!$B$43,Hypothèses!$B$8*(1+Hypothèses!$B$44)^R$3,0)</f>
        <v>0</v>
      </c>
      <c r="S34" s="7" t="n">
        <f aca="false">IF(S$3=Hypothèses!$B$43,Hypothèses!$B$8*(1+Hypothèses!$B$44)^S$3,0)</f>
        <v>0</v>
      </c>
      <c r="T34" s="7" t="n">
        <f aca="false">IF(T$3=Hypothèses!$B$43,Hypothèses!$B$8*(1+Hypothèses!$B$44)^T$3,0)</f>
        <v>0</v>
      </c>
      <c r="U34" s="7" t="n">
        <f aca="false">IF(U$3=Hypothèses!$B$43,Hypothèses!$B$8*(1+Hypothèses!$B$44)^U$3,0)</f>
        <v>0</v>
      </c>
      <c r="V34" s="7" t="n">
        <f aca="false">IF(V$3=Hypothèses!$B$43,Hypothèses!$B$8*(1+Hypothèses!$B$44)^V$3,0)</f>
        <v>538742.002620022</v>
      </c>
      <c r="W34" s="7" t="n">
        <f aca="false">IF(W$3=Hypothèses!$B$43,Hypothèses!$B$8*(1+Hypothèses!$B$44)^W$3,0)</f>
        <v>0</v>
      </c>
      <c r="X34" s="7" t="n">
        <f aca="false">IF(X$3=Hypothèses!$B$43,Hypothèses!$B$8*(1+Hypothèses!$B$44)^X$3,0)</f>
        <v>0</v>
      </c>
      <c r="Y34" s="7" t="n">
        <f aca="false">IF(Y$3=Hypothèses!$B$43,Hypothèses!$B$8*(1+Hypothèses!$B$44)^Y$3,0)</f>
        <v>0</v>
      </c>
      <c r="Z34" s="7" t="n">
        <f aca="false">IF(Z$3=Hypothèses!$B$43,Hypothèses!$B$8*(1+Hypothèses!$B$44)^Z$3,0)</f>
        <v>0</v>
      </c>
      <c r="AA34" s="7" t="n">
        <f aca="false">IF(AA$3=Hypothèses!$B$43,Hypothèses!$B$8*(1+Hypothèses!$B$44)^AA$3,0)</f>
        <v>0</v>
      </c>
    </row>
    <row r="35" customFormat="false" ht="15" hidden="false" customHeight="false" outlineLevel="0" collapsed="false">
      <c r="A35" s="6" t="s">
        <v>138</v>
      </c>
      <c r="B35" s="20"/>
      <c r="C35" s="7" t="n">
        <f aca="false">-C34*Hypothèses!$B$45</f>
        <v>-0</v>
      </c>
      <c r="D35" s="7" t="n">
        <f aca="false">-D34*Hypothèses!$B$45</f>
        <v>-0</v>
      </c>
      <c r="E35" s="7" t="n">
        <f aca="false">-E34*Hypothèses!$B$45</f>
        <v>-0</v>
      </c>
      <c r="F35" s="7" t="n">
        <f aca="false">-F34*Hypothèses!$B$45</f>
        <v>-0</v>
      </c>
      <c r="G35" s="7" t="n">
        <f aca="false">-G34*Hypothèses!$B$45</f>
        <v>-0</v>
      </c>
      <c r="H35" s="7" t="n">
        <f aca="false">-H34*Hypothèses!$B$45</f>
        <v>-0</v>
      </c>
      <c r="I35" s="7" t="n">
        <f aca="false">-I34*Hypothèses!$B$45</f>
        <v>-0</v>
      </c>
      <c r="J35" s="7" t="n">
        <f aca="false">-J34*Hypothèses!$B$45</f>
        <v>-0</v>
      </c>
      <c r="K35" s="7" t="n">
        <f aca="false">-K34*Hypothèses!$B$45</f>
        <v>-0</v>
      </c>
      <c r="L35" s="7" t="n">
        <f aca="false">-L34*Hypothèses!$B$45</f>
        <v>-0</v>
      </c>
      <c r="M35" s="7" t="n">
        <f aca="false">-M34*Hypothèses!$B$45</f>
        <v>-0</v>
      </c>
      <c r="N35" s="7" t="n">
        <f aca="false">-N34*Hypothèses!$B$45</f>
        <v>-0</v>
      </c>
      <c r="O35" s="7" t="n">
        <f aca="false">-O34*Hypothèses!$B$45</f>
        <v>-0</v>
      </c>
      <c r="P35" s="7" t="n">
        <f aca="false">-P34*Hypothèses!$B$45</f>
        <v>-0</v>
      </c>
      <c r="Q35" s="7" t="n">
        <f aca="false">-Q34*Hypothèses!$B$45</f>
        <v>-0</v>
      </c>
      <c r="R35" s="7" t="n">
        <f aca="false">-R34*Hypothèses!$B$45</f>
        <v>-0</v>
      </c>
      <c r="S35" s="7" t="n">
        <f aca="false">-S34*Hypothèses!$B$45</f>
        <v>-0</v>
      </c>
      <c r="T35" s="7" t="n">
        <f aca="false">-T34*Hypothèses!$B$45</f>
        <v>-0</v>
      </c>
      <c r="U35" s="7" t="n">
        <f aca="false">-U34*Hypothèses!$B$45</f>
        <v>-0</v>
      </c>
      <c r="V35" s="7" t="n">
        <f aca="false">-V34*Hypothèses!$B$45</f>
        <v>-21549.6801048009</v>
      </c>
      <c r="W35" s="7" t="n">
        <f aca="false">-W34*Hypothèses!$B$45</f>
        <v>-0</v>
      </c>
      <c r="X35" s="7" t="n">
        <f aca="false">-X34*Hypothèses!$B$45</f>
        <v>-0</v>
      </c>
      <c r="Y35" s="7" t="n">
        <f aca="false">-Y34*Hypothèses!$B$45</f>
        <v>-0</v>
      </c>
      <c r="Z35" s="7" t="n">
        <f aca="false">-Z34*Hypothèses!$B$45</f>
        <v>-0</v>
      </c>
      <c r="AA35" s="7" t="n">
        <f aca="false">-AA34*Hypothèses!$B$45</f>
        <v>-0</v>
      </c>
    </row>
    <row r="36" customFormat="false" ht="15" hidden="false" customHeight="false" outlineLevel="0" collapsed="false">
      <c r="A36" s="6" t="s">
        <v>139</v>
      </c>
      <c r="B36" s="20"/>
      <c r="C36" s="7" t="n">
        <f aca="false">IF(C$3=Hypothèses!$B$43,-C22,0)</f>
        <v>0</v>
      </c>
      <c r="D36" s="7" t="n">
        <f aca="false">IF(D$3=Hypothèses!$B$43,-D22,0)</f>
        <v>0</v>
      </c>
      <c r="E36" s="7" t="n">
        <f aca="false">IF(E$3=Hypothèses!$B$43,-E22,0)</f>
        <v>0</v>
      </c>
      <c r="F36" s="7" t="n">
        <f aca="false">IF(F$3=Hypothèses!$B$43,-F22,0)</f>
        <v>0</v>
      </c>
      <c r="G36" s="7" t="n">
        <f aca="false">IF(G$3=Hypothèses!$B$43,-G22,0)</f>
        <v>0</v>
      </c>
      <c r="H36" s="7" t="n">
        <f aca="false">IF(H$3=Hypothèses!$B$43,-H22,0)</f>
        <v>0</v>
      </c>
      <c r="I36" s="7" t="n">
        <f aca="false">IF(I$3=Hypothèses!$B$43,-I22,0)</f>
        <v>0</v>
      </c>
      <c r="J36" s="7" t="n">
        <f aca="false">IF(J$3=Hypothèses!$B$43,-J22,0)</f>
        <v>0</v>
      </c>
      <c r="K36" s="7" t="n">
        <f aca="false">IF(K$3=Hypothèses!$B$43,-K22,0)</f>
        <v>0</v>
      </c>
      <c r="L36" s="7" t="n">
        <f aca="false">IF(L$3=Hypothèses!$B$43,-L22,0)</f>
        <v>0</v>
      </c>
      <c r="M36" s="7" t="n">
        <f aca="false">IF(M$3=Hypothèses!$B$43,-M22,0)</f>
        <v>0</v>
      </c>
      <c r="N36" s="7" t="n">
        <f aca="false">IF(N$3=Hypothèses!$B$43,-N22,0)</f>
        <v>0</v>
      </c>
      <c r="O36" s="7" t="n">
        <f aca="false">IF(O$3=Hypothèses!$B$43,-O22,0)</f>
        <v>0</v>
      </c>
      <c r="P36" s="7" t="n">
        <f aca="false">IF(P$3=Hypothèses!$B$43,-P22,0)</f>
        <v>0</v>
      </c>
      <c r="Q36" s="7" t="n">
        <f aca="false">IF(Q$3=Hypothèses!$B$43,-Q22,0)</f>
        <v>0</v>
      </c>
      <c r="R36" s="7" t="n">
        <f aca="false">IF(R$3=Hypothèses!$B$43,-R22,0)</f>
        <v>0</v>
      </c>
      <c r="S36" s="7" t="n">
        <f aca="false">IF(S$3=Hypothèses!$B$43,-S22,0)</f>
        <v>0</v>
      </c>
      <c r="T36" s="7" t="n">
        <f aca="false">IF(T$3=Hypothèses!$B$43,-T22,0)</f>
        <v>0</v>
      </c>
      <c r="U36" s="7" t="n">
        <f aca="false">IF(U$3=Hypothèses!$B$43,-U22,0)</f>
        <v>0</v>
      </c>
      <c r="V36" s="7" t="n">
        <f aca="false">IF(V$3=Hypothèses!$B$43,-V22,0)</f>
        <v>-0</v>
      </c>
      <c r="W36" s="7" t="n">
        <f aca="false">IF(W$3=Hypothèses!$B$43,-W22,0)</f>
        <v>0</v>
      </c>
      <c r="X36" s="7" t="n">
        <f aca="false">IF(X$3=Hypothèses!$B$43,-X22,0)</f>
        <v>0</v>
      </c>
      <c r="Y36" s="7" t="n">
        <f aca="false">IF(Y$3=Hypothèses!$B$43,-Y22,0)</f>
        <v>0</v>
      </c>
      <c r="Z36" s="7" t="n">
        <f aca="false">IF(Z$3=Hypothèses!$B$43,-Z22,0)</f>
        <v>0</v>
      </c>
      <c r="AA36" s="7" t="n">
        <f aca="false">IF(AA$3=Hypothèses!$B$43,-AA22,0)</f>
        <v>0</v>
      </c>
    </row>
    <row r="37" customFormat="false" ht="15" hidden="false" customHeight="false" outlineLevel="0" collapsed="false">
      <c r="A37" s="6" t="s">
        <v>140</v>
      </c>
      <c r="B37" s="20"/>
      <c r="C37" s="20" t="n">
        <f aca="false">C24</f>
        <v>9500</v>
      </c>
      <c r="D37" s="20" t="n">
        <f aca="false">C37+D24</f>
        <v>19000</v>
      </c>
      <c r="E37" s="20" t="n">
        <f aca="false">D37+E24</f>
        <v>28500</v>
      </c>
      <c r="F37" s="20" t="n">
        <f aca="false">E37+F24</f>
        <v>38000</v>
      </c>
      <c r="G37" s="20" t="n">
        <f aca="false">F37+G24</f>
        <v>47500</v>
      </c>
      <c r="H37" s="20" t="n">
        <f aca="false">G37+H24</f>
        <v>57000</v>
      </c>
      <c r="I37" s="20" t="n">
        <f aca="false">H37+I24</f>
        <v>66500</v>
      </c>
      <c r="J37" s="20" t="n">
        <f aca="false">I37+J24</f>
        <v>76000</v>
      </c>
      <c r="K37" s="20" t="n">
        <f aca="false">J37+K24</f>
        <v>85500</v>
      </c>
      <c r="L37" s="20" t="n">
        <f aca="false">K37+L24</f>
        <v>95000</v>
      </c>
      <c r="M37" s="20" t="n">
        <f aca="false">L37+M24</f>
        <v>103500</v>
      </c>
      <c r="N37" s="20" t="n">
        <f aca="false">M37+N24</f>
        <v>112000</v>
      </c>
      <c r="O37" s="20" t="n">
        <f aca="false">N37+O24</f>
        <v>120500</v>
      </c>
      <c r="P37" s="20" t="n">
        <f aca="false">O37+P24</f>
        <v>129000</v>
      </c>
      <c r="Q37" s="20" t="n">
        <f aca="false">P37+Q24</f>
        <v>137500</v>
      </c>
      <c r="R37" s="20" t="n">
        <f aca="false">Q37+R24</f>
        <v>146000</v>
      </c>
      <c r="S37" s="20" t="n">
        <f aca="false">R37+S24</f>
        <v>154500</v>
      </c>
      <c r="T37" s="20" t="n">
        <f aca="false">S37+T24</f>
        <v>163000</v>
      </c>
      <c r="U37" s="20" t="n">
        <f aca="false">T37+U24</f>
        <v>171500</v>
      </c>
      <c r="V37" s="20" t="n">
        <f aca="false">U37+V24</f>
        <v>180000</v>
      </c>
      <c r="W37" s="20" t="n">
        <f aca="false">V37+W24</f>
        <v>188500</v>
      </c>
      <c r="X37" s="20" t="n">
        <f aca="false">W37+X24</f>
        <v>197000</v>
      </c>
      <c r="Y37" s="20" t="n">
        <f aca="false">X37+Y24</f>
        <v>205500</v>
      </c>
      <c r="Z37" s="20" t="n">
        <f aca="false">Y37+Z24</f>
        <v>214000</v>
      </c>
      <c r="AA37" s="20" t="n">
        <f aca="false">Z37+AA24</f>
        <v>222500</v>
      </c>
    </row>
    <row r="38" customFormat="false" ht="15" hidden="false" customHeight="false" outlineLevel="0" collapsed="false">
      <c r="A38" s="6" t="s">
        <v>141</v>
      </c>
      <c r="B38" s="20"/>
      <c r="C38" s="7" t="n">
        <f aca="false">IF(C$3=Hypothèses!$B$43,MAX(0,C34+C35-Hypothèses!$B$8-Hypothèses!$B$10+Hypothèses!$B$49*C37),0)</f>
        <v>0</v>
      </c>
      <c r="D38" s="7" t="n">
        <f aca="false">IF(D$3=Hypothèses!$B$43,MAX(0,D34+D35-Hypothèses!$B$8-Hypothèses!$B$10+Hypothèses!$B$49*D37),0)</f>
        <v>0</v>
      </c>
      <c r="E38" s="7" t="n">
        <f aca="false">IF(E$3=Hypothèses!$B$43,MAX(0,E34+E35-Hypothèses!$B$8-Hypothèses!$B$10+Hypothèses!$B$49*E37),0)</f>
        <v>0</v>
      </c>
      <c r="F38" s="7" t="n">
        <f aca="false">IF(F$3=Hypothèses!$B$43,MAX(0,F34+F35-Hypothèses!$B$8-Hypothèses!$B$10+Hypothèses!$B$49*F37),0)</f>
        <v>0</v>
      </c>
      <c r="G38" s="7" t="n">
        <f aca="false">IF(G$3=Hypothèses!$B$43,MAX(0,G34+G35-Hypothèses!$B$8-Hypothèses!$B$10+Hypothèses!$B$49*G37),0)</f>
        <v>0</v>
      </c>
      <c r="H38" s="7" t="n">
        <f aca="false">IF(H$3=Hypothèses!$B$43,MAX(0,H34+H35-Hypothèses!$B$8-Hypothèses!$B$10+Hypothèses!$B$49*H37),0)</f>
        <v>0</v>
      </c>
      <c r="I38" s="7" t="n">
        <f aca="false">IF(I$3=Hypothèses!$B$43,MAX(0,I34+I35-Hypothèses!$B$8-Hypothèses!$B$10+Hypothèses!$B$49*I37),0)</f>
        <v>0</v>
      </c>
      <c r="J38" s="7" t="n">
        <f aca="false">IF(J$3=Hypothèses!$B$43,MAX(0,J34+J35-Hypothèses!$B$8-Hypothèses!$B$10+Hypothèses!$B$49*J37),0)</f>
        <v>0</v>
      </c>
      <c r="K38" s="7" t="n">
        <f aca="false">IF(K$3=Hypothèses!$B$43,MAX(0,K34+K35-Hypothèses!$B$8-Hypothèses!$B$10+Hypothèses!$B$49*K37),0)</f>
        <v>0</v>
      </c>
      <c r="L38" s="7" t="n">
        <f aca="false">IF(L$3=Hypothèses!$B$43,MAX(0,L34+L35-Hypothèses!$B$8-Hypothèses!$B$10+Hypothèses!$B$49*L37),0)</f>
        <v>0</v>
      </c>
      <c r="M38" s="7" t="n">
        <f aca="false">IF(M$3=Hypothèses!$B$43,MAX(0,M34+M35-Hypothèses!$B$8-Hypothèses!$B$10+Hypothèses!$B$49*M37),0)</f>
        <v>0</v>
      </c>
      <c r="N38" s="7" t="n">
        <f aca="false">IF(N$3=Hypothèses!$B$43,MAX(0,N34+N35-Hypothèses!$B$8-Hypothèses!$B$10+Hypothèses!$B$49*N37),0)</f>
        <v>0</v>
      </c>
      <c r="O38" s="7" t="n">
        <f aca="false">IF(O$3=Hypothèses!$B$43,MAX(0,O34+O35-Hypothèses!$B$8-Hypothèses!$B$10+Hypothèses!$B$49*O37),0)</f>
        <v>0</v>
      </c>
      <c r="P38" s="7" t="n">
        <f aca="false">IF(P$3=Hypothèses!$B$43,MAX(0,P34+P35-Hypothèses!$B$8-Hypothèses!$B$10+Hypothèses!$B$49*P37),0)</f>
        <v>0</v>
      </c>
      <c r="Q38" s="7" t="n">
        <f aca="false">IF(Q$3=Hypothèses!$B$43,MAX(0,Q34+Q35-Hypothèses!$B$8-Hypothèses!$B$10+Hypothèses!$B$49*Q37),0)</f>
        <v>0</v>
      </c>
      <c r="R38" s="7" t="n">
        <f aca="false">IF(R$3=Hypothèses!$B$43,MAX(0,R34+R35-Hypothèses!$B$8-Hypothèses!$B$10+Hypothèses!$B$49*R37),0)</f>
        <v>0</v>
      </c>
      <c r="S38" s="7" t="n">
        <f aca="false">IF(S$3=Hypothèses!$B$43,MAX(0,S34+S35-Hypothèses!$B$8-Hypothèses!$B$10+Hypothèses!$B$49*S37),0)</f>
        <v>0</v>
      </c>
      <c r="T38" s="7" t="n">
        <f aca="false">IF(T$3=Hypothèses!$B$43,MAX(0,T34+T35-Hypothèses!$B$8-Hypothèses!$B$10+Hypothèses!$B$49*T37),0)</f>
        <v>0</v>
      </c>
      <c r="U38" s="7" t="n">
        <f aca="false">IF(U$3=Hypothèses!$B$43,MAX(0,U34+U35-Hypothèses!$B$8-Hypothèses!$B$10+Hypothèses!$B$49*U37),0)</f>
        <v>0</v>
      </c>
      <c r="V38" s="7" t="n">
        <f aca="false">IF(V$3=Hypothèses!$B$43,MAX(0,V34+V35-Hypothèses!$B$8-Hypothèses!$B$10+Hypothèses!$B$49*V37),0)</f>
        <v>267192.322515221</v>
      </c>
      <c r="W38" s="7" t="n">
        <f aca="false">IF(W$3=Hypothèses!$B$43,MAX(0,W34+W35-Hypothèses!$B$8-Hypothèses!$B$10+Hypothèses!$B$49*W37),0)</f>
        <v>0</v>
      </c>
      <c r="X38" s="7" t="n">
        <f aca="false">IF(X$3=Hypothèses!$B$43,MAX(0,X34+X35-Hypothèses!$B$8-Hypothèses!$B$10+Hypothèses!$B$49*X37),0)</f>
        <v>0</v>
      </c>
      <c r="Y38" s="7" t="n">
        <f aca="false">IF(Y$3=Hypothèses!$B$43,MAX(0,Y34+Y35-Hypothèses!$B$8-Hypothèses!$B$10+Hypothèses!$B$49*Y37),0)</f>
        <v>0</v>
      </c>
      <c r="Z38" s="7" t="n">
        <f aca="false">IF(Z$3=Hypothèses!$B$43,MAX(0,Z34+Z35-Hypothèses!$B$8-Hypothèses!$B$10+Hypothèses!$B$49*Z37),0)</f>
        <v>0</v>
      </c>
      <c r="AA38" s="7" t="n">
        <f aca="false">IF(AA$3=Hypothèses!$B$43,MAX(0,AA34+AA35-Hypothèses!$B$8-Hypothèses!$B$10+Hypothèses!$B$49*AA37),0)</f>
        <v>0</v>
      </c>
    </row>
    <row r="39" customFormat="false" ht="15" hidden="false" customHeight="false" outlineLevel="0" collapsed="false">
      <c r="A39" s="6" t="s">
        <v>142</v>
      </c>
      <c r="B39" s="20"/>
      <c r="C39" s="7" t="n">
        <f aca="false">-(C38*(1-Hypothèses!$B$47)*Hypothèses!$B$46+C38*(1-Hypothèses!$B$48)*Hypothèses!$B$37)</f>
        <v>-0</v>
      </c>
      <c r="D39" s="7" t="n">
        <f aca="false">-(D38*(1-Hypothèses!$B$47)*Hypothèses!$B$46+D38*(1-Hypothèses!$B$48)*Hypothèses!$B$37)</f>
        <v>-0</v>
      </c>
      <c r="E39" s="7" t="n">
        <f aca="false">-(E38*(1-Hypothèses!$B$47)*Hypothèses!$B$46+E38*(1-Hypothèses!$B$48)*Hypothèses!$B$37)</f>
        <v>-0</v>
      </c>
      <c r="F39" s="7" t="n">
        <f aca="false">-(F38*(1-Hypothèses!$B$47)*Hypothèses!$B$46+F38*(1-Hypothèses!$B$48)*Hypothèses!$B$37)</f>
        <v>-0</v>
      </c>
      <c r="G39" s="7" t="n">
        <f aca="false">-(G38*(1-Hypothèses!$B$47)*Hypothèses!$B$46+G38*(1-Hypothèses!$B$48)*Hypothèses!$B$37)</f>
        <v>-0</v>
      </c>
      <c r="H39" s="7" t="n">
        <f aca="false">-(H38*(1-Hypothèses!$B$47)*Hypothèses!$B$46+H38*(1-Hypothèses!$B$48)*Hypothèses!$B$37)</f>
        <v>-0</v>
      </c>
      <c r="I39" s="7" t="n">
        <f aca="false">-(I38*(1-Hypothèses!$B$47)*Hypothèses!$B$46+I38*(1-Hypothèses!$B$48)*Hypothèses!$B$37)</f>
        <v>-0</v>
      </c>
      <c r="J39" s="7" t="n">
        <f aca="false">-(J38*(1-Hypothèses!$B$47)*Hypothèses!$B$46+J38*(1-Hypothèses!$B$48)*Hypothèses!$B$37)</f>
        <v>-0</v>
      </c>
      <c r="K39" s="7" t="n">
        <f aca="false">-(K38*(1-Hypothèses!$B$47)*Hypothèses!$B$46+K38*(1-Hypothèses!$B$48)*Hypothèses!$B$37)</f>
        <v>-0</v>
      </c>
      <c r="L39" s="7" t="n">
        <f aca="false">-(L38*(1-Hypothèses!$B$47)*Hypothèses!$B$46+L38*(1-Hypothèses!$B$48)*Hypothèses!$B$37)</f>
        <v>-0</v>
      </c>
      <c r="M39" s="7" t="n">
        <f aca="false">-(M38*(1-Hypothèses!$B$47)*Hypothèses!$B$46+M38*(1-Hypothèses!$B$48)*Hypothèses!$B$37)</f>
        <v>-0</v>
      </c>
      <c r="N39" s="7" t="n">
        <f aca="false">-(N38*(1-Hypothèses!$B$47)*Hypothèses!$B$46+N38*(1-Hypothèses!$B$48)*Hypothèses!$B$37)</f>
        <v>-0</v>
      </c>
      <c r="O39" s="7" t="n">
        <f aca="false">-(O38*(1-Hypothèses!$B$47)*Hypothèses!$B$46+O38*(1-Hypothèses!$B$48)*Hypothèses!$B$37)</f>
        <v>-0</v>
      </c>
      <c r="P39" s="7" t="n">
        <f aca="false">-(P38*(1-Hypothèses!$B$47)*Hypothèses!$B$46+P38*(1-Hypothèses!$B$48)*Hypothèses!$B$37)</f>
        <v>-0</v>
      </c>
      <c r="Q39" s="7" t="n">
        <f aca="false">-(Q38*(1-Hypothèses!$B$47)*Hypothèses!$B$46+Q38*(1-Hypothèses!$B$48)*Hypothèses!$B$37)</f>
        <v>-0</v>
      </c>
      <c r="R39" s="7" t="n">
        <f aca="false">-(R38*(1-Hypothèses!$B$47)*Hypothèses!$B$46+R38*(1-Hypothèses!$B$48)*Hypothèses!$B$37)</f>
        <v>-0</v>
      </c>
      <c r="S39" s="7" t="n">
        <f aca="false">-(S38*(1-Hypothèses!$B$47)*Hypothèses!$B$46+S38*(1-Hypothèses!$B$48)*Hypothèses!$B$37)</f>
        <v>-0</v>
      </c>
      <c r="T39" s="7" t="n">
        <f aca="false">-(T38*(1-Hypothèses!$B$47)*Hypothèses!$B$46+T38*(1-Hypothèses!$B$48)*Hypothèses!$B$37)</f>
        <v>-0</v>
      </c>
      <c r="U39" s="7" t="n">
        <f aca="false">-(U38*(1-Hypothèses!$B$47)*Hypothèses!$B$46+U38*(1-Hypothèses!$B$48)*Hypothèses!$B$37)</f>
        <v>-0</v>
      </c>
      <c r="V39" s="7" t="n">
        <f aca="false">-(V38*(1-Hypothèses!$B$47)*Hypothèses!$B$46+V38*(1-Hypothèses!$B$48)*Hypothèses!$B$37)</f>
        <v>-39659.3564309342</v>
      </c>
      <c r="W39" s="7" t="n">
        <f aca="false">-(W38*(1-Hypothèses!$B$47)*Hypothèses!$B$46+W38*(1-Hypothèses!$B$48)*Hypothèses!$B$37)</f>
        <v>-0</v>
      </c>
      <c r="X39" s="7" t="n">
        <f aca="false">-(X38*(1-Hypothèses!$B$47)*Hypothèses!$B$46+X38*(1-Hypothèses!$B$48)*Hypothèses!$B$37)</f>
        <v>-0</v>
      </c>
      <c r="Y39" s="7" t="n">
        <f aca="false">-(Y38*(1-Hypothèses!$B$47)*Hypothèses!$B$46+Y38*(1-Hypothèses!$B$48)*Hypothèses!$B$37)</f>
        <v>-0</v>
      </c>
      <c r="Z39" s="7" t="n">
        <f aca="false">-(Z38*(1-Hypothèses!$B$47)*Hypothèses!$B$46+Z38*(1-Hypothèses!$B$48)*Hypothèses!$B$37)</f>
        <v>-0</v>
      </c>
      <c r="AA39" s="7" t="n">
        <f aca="false">-(AA38*(1-Hypothèses!$B$47)*Hypothèses!$B$46+AA38*(1-Hypothèses!$B$48)*Hypothèses!$B$37)</f>
        <v>-0</v>
      </c>
    </row>
    <row r="40" customFormat="false" ht="15" hidden="false" customHeight="false" outlineLevel="0" collapsed="false">
      <c r="A40" s="13" t="s">
        <v>143</v>
      </c>
      <c r="B40" s="33"/>
      <c r="C40" s="33" t="n">
        <f aca="false">C34+C35+C36+C39</f>
        <v>0</v>
      </c>
      <c r="D40" s="33" t="n">
        <f aca="false">D34+D35+D36+D39</f>
        <v>0</v>
      </c>
      <c r="E40" s="33" t="n">
        <f aca="false">E34+E35+E36+E39</f>
        <v>0</v>
      </c>
      <c r="F40" s="33" t="n">
        <f aca="false">F34+F35+F36+F39</f>
        <v>0</v>
      </c>
      <c r="G40" s="33" t="n">
        <f aca="false">G34+G35+G36+G39</f>
        <v>0</v>
      </c>
      <c r="H40" s="33" t="n">
        <f aca="false">H34+H35+H36+H39</f>
        <v>0</v>
      </c>
      <c r="I40" s="33" t="n">
        <f aca="false">I34+I35+I36+I39</f>
        <v>0</v>
      </c>
      <c r="J40" s="33" t="n">
        <f aca="false">J34+J35+J36+J39</f>
        <v>0</v>
      </c>
      <c r="K40" s="33" t="n">
        <f aca="false">K34+K35+K36+K39</f>
        <v>0</v>
      </c>
      <c r="L40" s="33" t="n">
        <f aca="false">L34+L35+L36+L39</f>
        <v>0</v>
      </c>
      <c r="M40" s="33" t="n">
        <f aca="false">M34+M35+M36+M39</f>
        <v>0</v>
      </c>
      <c r="N40" s="33" t="n">
        <f aca="false">N34+N35+N36+N39</f>
        <v>0</v>
      </c>
      <c r="O40" s="33" t="n">
        <f aca="false">O34+O35+O36+O39</f>
        <v>0</v>
      </c>
      <c r="P40" s="33" t="n">
        <f aca="false">P34+P35+P36+P39</f>
        <v>0</v>
      </c>
      <c r="Q40" s="33" t="n">
        <f aca="false">Q34+Q35+Q36+Q39</f>
        <v>0</v>
      </c>
      <c r="R40" s="33" t="n">
        <f aca="false">R34+R35+R36+R39</f>
        <v>0</v>
      </c>
      <c r="S40" s="33" t="n">
        <f aca="false">S34+S35+S36+S39</f>
        <v>0</v>
      </c>
      <c r="T40" s="33" t="n">
        <f aca="false">T34+T35+T36+T39</f>
        <v>0</v>
      </c>
      <c r="U40" s="33" t="n">
        <f aca="false">U34+U35+U36+U39</f>
        <v>0</v>
      </c>
      <c r="V40" s="33" t="n">
        <f aca="false">V34+V35+V36+V39</f>
        <v>477532.966084286</v>
      </c>
      <c r="W40" s="33" t="n">
        <f aca="false">W34+W35+W36+W39</f>
        <v>0</v>
      </c>
      <c r="X40" s="33" t="n">
        <f aca="false">X34+X35+X36+X39</f>
        <v>0</v>
      </c>
      <c r="Y40" s="33" t="n">
        <f aca="false">Y34+Y35+Y36+Y39</f>
        <v>0</v>
      </c>
      <c r="Z40" s="33" t="n">
        <f aca="false">Z34+Z35+Z36+Z39</f>
        <v>0</v>
      </c>
      <c r="AA40" s="33" t="n">
        <f aca="false">AA34+AA35+AA36+AA39</f>
        <v>0</v>
      </c>
    </row>
    <row r="41" customFormat="false" ht="15" hidden="false" customHeight="false" outlineLevel="0" collapsed="false">
      <c r="A41" s="4" t="s">
        <v>144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customFormat="false" ht="15" hidden="false" customHeight="false" outlineLevel="0" collapsed="false">
      <c r="A42" s="13" t="s">
        <v>145</v>
      </c>
      <c r="B42" s="34" t="n">
        <f aca="false">-Hypothèses!$B$20</f>
        <v>-440000</v>
      </c>
      <c r="C42" s="33" t="n">
        <f aca="false">C4*(C32+C40)</f>
        <v>9823.879424</v>
      </c>
      <c r="D42" s="33" t="n">
        <f aca="false">D4*(D32+D40)</f>
        <v>9894.47361536</v>
      </c>
      <c r="E42" s="33" t="n">
        <f aca="false">E4*(E32+E40)</f>
        <v>9965.9366395904</v>
      </c>
      <c r="F42" s="33" t="n">
        <f aca="false">F4*(F32+F40)</f>
        <v>10038.2777275843</v>
      </c>
      <c r="G42" s="33" t="n">
        <f aca="false">G4*(G32+G40)</f>
        <v>10111.506172666</v>
      </c>
      <c r="H42" s="33" t="n">
        <f aca="false">H4*(H32+H40)</f>
        <v>10185.6313300074</v>
      </c>
      <c r="I42" s="33" t="n">
        <f aca="false">I4*(I32+I40)</f>
        <v>10260.6626160039</v>
      </c>
      <c r="J42" s="33" t="n">
        <f aca="false">J4*(J32+J40)</f>
        <v>10336.6095076112</v>
      </c>
      <c r="K42" s="33" t="n">
        <f aca="false">K4*(K32+K40)</f>
        <v>10413.4815416401</v>
      </c>
      <c r="L42" s="33" t="n">
        <f aca="false">L4*(L32+L40)</f>
        <v>10491.2883140076</v>
      </c>
      <c r="M42" s="33" t="n">
        <f aca="false">M4*(M32+M40)</f>
        <v>10098.0394789455</v>
      </c>
      <c r="N42" s="33" t="n">
        <f aca="false">N4*(N32+N40)</f>
        <v>10177.7447481621</v>
      </c>
      <c r="O42" s="33" t="n">
        <f aca="false">O4*(O32+O40)</f>
        <v>10258.4138899575</v>
      </c>
      <c r="P42" s="33" t="n">
        <f aca="false">P4*(P32+P40)</f>
        <v>10340.0567282914</v>
      </c>
      <c r="Q42" s="33" t="n">
        <f aca="false">Q4*(Q32+Q40)</f>
        <v>10422.6831417999</v>
      </c>
      <c r="R42" s="33" t="n">
        <f aca="false">R4*(R32+R40)</f>
        <v>10506.3030627628</v>
      </c>
      <c r="S42" s="33" t="n">
        <f aca="false">S4*(S32+S40)</f>
        <v>10590.9264760168</v>
      </c>
      <c r="T42" s="33" t="n">
        <f aca="false">T4*(T32+T40)</f>
        <v>10676.5634178158</v>
      </c>
      <c r="U42" s="33" t="n">
        <f aca="false">U4*(U32+U40)</f>
        <v>10763.2239746351</v>
      </c>
      <c r="V42" s="33" t="n">
        <f aca="false">V4*(V32+V40)</f>
        <v>488383.884366204</v>
      </c>
      <c r="W42" s="33" t="n">
        <f aca="false">W4*(W32+W40)</f>
        <v>0</v>
      </c>
      <c r="X42" s="33" t="n">
        <f aca="false">X4*(X32+X40)</f>
        <v>0</v>
      </c>
      <c r="Y42" s="33" t="n">
        <f aca="false">Y4*(Y32+Y40)</f>
        <v>0</v>
      </c>
      <c r="Z42" s="33" t="n">
        <f aca="false">Z4*(Z32+Z40)</f>
        <v>0</v>
      </c>
      <c r="AA42" s="33" t="n">
        <f aca="false">AA4*(AA32+AA40)</f>
        <v>0</v>
      </c>
    </row>
    <row r="43" customFormat="false" ht="15" hidden="false" customHeight="false" outlineLevel="0" collapsed="false">
      <c r="A43" s="6" t="s">
        <v>146</v>
      </c>
      <c r="B43" s="20" t="n">
        <f aca="false">B42</f>
        <v>-440000</v>
      </c>
      <c r="C43" s="20" t="n">
        <f aca="false">B43+C42</f>
        <v>-430176.120576</v>
      </c>
      <c r="D43" s="20" t="n">
        <f aca="false">C43+D42</f>
        <v>-420281.64696064</v>
      </c>
      <c r="E43" s="20" t="n">
        <f aca="false">D43+E42</f>
        <v>-410315.71032105</v>
      </c>
      <c r="F43" s="20" t="n">
        <f aca="false">E43+F42</f>
        <v>-400277.432593465</v>
      </c>
      <c r="G43" s="20" t="n">
        <f aca="false">F43+G42</f>
        <v>-390165.926420799</v>
      </c>
      <c r="H43" s="20" t="n">
        <f aca="false">G43+H42</f>
        <v>-379980.295090792</v>
      </c>
      <c r="I43" s="20" t="n">
        <f aca="false">H43+I42</f>
        <v>-369719.632474788</v>
      </c>
      <c r="J43" s="20" t="n">
        <f aca="false">I43+J42</f>
        <v>-359383.022967177</v>
      </c>
      <c r="K43" s="20" t="n">
        <f aca="false">J43+K42</f>
        <v>-348969.541425537</v>
      </c>
      <c r="L43" s="20" t="n">
        <f aca="false">K43+L42</f>
        <v>-338478.253111529</v>
      </c>
      <c r="M43" s="20" t="n">
        <f aca="false">L43+M42</f>
        <v>-328380.213632584</v>
      </c>
      <c r="N43" s="20" t="n">
        <f aca="false">M43+N42</f>
        <v>-318202.468884422</v>
      </c>
      <c r="O43" s="20" t="n">
        <f aca="false">N43+O42</f>
        <v>-307944.054994464</v>
      </c>
      <c r="P43" s="20" t="n">
        <f aca="false">O43+P42</f>
        <v>-297603.998266173</v>
      </c>
      <c r="Q43" s="20" t="n">
        <f aca="false">P43+Q42</f>
        <v>-287181.315124373</v>
      </c>
      <c r="R43" s="20" t="n">
        <f aca="false">Q43+R42</f>
        <v>-276675.01206161</v>
      </c>
      <c r="S43" s="20" t="n">
        <f aca="false">R43+S42</f>
        <v>-266084.085585593</v>
      </c>
      <c r="T43" s="20" t="n">
        <f aca="false">S43+T42</f>
        <v>-255407.522167777</v>
      </c>
      <c r="U43" s="20" t="n">
        <f aca="false">T43+U42</f>
        <v>-244644.298193142</v>
      </c>
      <c r="V43" s="20" t="n">
        <f aca="false">U43+V42</f>
        <v>243739.586173062</v>
      </c>
      <c r="W43" s="20" t="n">
        <f aca="false">V43+W42</f>
        <v>243739.586173062</v>
      </c>
      <c r="X43" s="20" t="n">
        <f aca="false">W43+X42</f>
        <v>243739.586173062</v>
      </c>
      <c r="Y43" s="20" t="n">
        <f aca="false">X43+Y42</f>
        <v>243739.586173062</v>
      </c>
      <c r="Z43" s="20" t="n">
        <f aca="false">Y43+Z42</f>
        <v>243739.586173062</v>
      </c>
      <c r="AA43" s="20" t="n">
        <f aca="false">Z43+AA42</f>
        <v>243739.586173062</v>
      </c>
    </row>
  </sheetData>
  <conditionalFormatting sqref="C5:AA43">
    <cfRule type="expression" priority="2" aboveAverage="0" equalAverage="0" bottom="0" percent="0" rank="0" text="" dxfId="0">
      <formula>C$4=0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7" min="2" style="0" width="12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31" t="s">
        <v>106</v>
      </c>
      <c r="B3" s="3" t="n">
        <v>0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  <c r="AA3" s="3" t="n">
        <v>25</v>
      </c>
    </row>
    <row r="4" customFormat="false" ht="15" hidden="false" customHeight="false" outlineLevel="0" collapsed="false">
      <c r="A4" s="6" t="s">
        <v>107</v>
      </c>
      <c r="B4" s="17"/>
      <c r="C4" s="9" t="n">
        <f aca="false">IF(C$3&lt;=Hypothèses!$C$43,1,0)</f>
        <v>1</v>
      </c>
      <c r="D4" s="9" t="n">
        <f aca="false">IF(D$3&lt;=Hypothèses!$C$43,1,0)</f>
        <v>1</v>
      </c>
      <c r="E4" s="9" t="n">
        <f aca="false">IF(E$3&lt;=Hypothèses!$C$43,1,0)</f>
        <v>1</v>
      </c>
      <c r="F4" s="9" t="n">
        <f aca="false">IF(F$3&lt;=Hypothèses!$C$43,1,0)</f>
        <v>1</v>
      </c>
      <c r="G4" s="9" t="n">
        <f aca="false">IF(G$3&lt;=Hypothèses!$C$43,1,0)</f>
        <v>1</v>
      </c>
      <c r="H4" s="9" t="n">
        <f aca="false">IF(H$3&lt;=Hypothèses!$C$43,1,0)</f>
        <v>1</v>
      </c>
      <c r="I4" s="9" t="n">
        <f aca="false">IF(I$3&lt;=Hypothèses!$C$43,1,0)</f>
        <v>1</v>
      </c>
      <c r="J4" s="9" t="n">
        <f aca="false">IF(J$3&lt;=Hypothèses!$C$43,1,0)</f>
        <v>1</v>
      </c>
      <c r="K4" s="9" t="n">
        <f aca="false">IF(K$3&lt;=Hypothèses!$C$43,1,0)</f>
        <v>1</v>
      </c>
      <c r="L4" s="9" t="n">
        <f aca="false">IF(L$3&lt;=Hypothèses!$C$43,1,0)</f>
        <v>1</v>
      </c>
      <c r="M4" s="9" t="n">
        <f aca="false">IF(M$3&lt;=Hypothèses!$C$43,1,0)</f>
        <v>1</v>
      </c>
      <c r="N4" s="9" t="n">
        <f aca="false">IF(N$3&lt;=Hypothèses!$C$43,1,0)</f>
        <v>1</v>
      </c>
      <c r="O4" s="9" t="n">
        <f aca="false">IF(O$3&lt;=Hypothèses!$C$43,1,0)</f>
        <v>1</v>
      </c>
      <c r="P4" s="9" t="n">
        <f aca="false">IF(P$3&lt;=Hypothèses!$C$43,1,0)</f>
        <v>1</v>
      </c>
      <c r="Q4" s="9" t="n">
        <f aca="false">IF(Q$3&lt;=Hypothèses!$C$43,1,0)</f>
        <v>1</v>
      </c>
      <c r="R4" s="9" t="n">
        <f aca="false">IF(R$3&lt;=Hypothèses!$C$43,1,0)</f>
        <v>1</v>
      </c>
      <c r="S4" s="9" t="n">
        <f aca="false">IF(S$3&lt;=Hypothèses!$C$43,1,0)</f>
        <v>1</v>
      </c>
      <c r="T4" s="9" t="n">
        <f aca="false">IF(T$3&lt;=Hypothèses!$C$43,1,0)</f>
        <v>1</v>
      </c>
      <c r="U4" s="9" t="n">
        <f aca="false">IF(U$3&lt;=Hypothèses!$C$43,1,0)</f>
        <v>1</v>
      </c>
      <c r="V4" s="9" t="n">
        <f aca="false">IF(V$3&lt;=Hypothèses!$C$43,1,0)</f>
        <v>1</v>
      </c>
      <c r="W4" s="9" t="n">
        <f aca="false">IF(W$3&lt;=Hypothèses!$C$43,1,0)</f>
        <v>0</v>
      </c>
      <c r="X4" s="9" t="n">
        <f aca="false">IF(X$3&lt;=Hypothèses!$C$43,1,0)</f>
        <v>0</v>
      </c>
      <c r="Y4" s="9" t="n">
        <f aca="false">IF(Y$3&lt;=Hypothèses!$C$43,1,0)</f>
        <v>0</v>
      </c>
      <c r="Z4" s="9" t="n">
        <f aca="false">IF(Z$3&lt;=Hypothèses!$C$43,1,0)</f>
        <v>0</v>
      </c>
      <c r="AA4" s="9" t="n">
        <f aca="false">IF(AA$3&lt;=Hypothèses!$C$43,1,0)</f>
        <v>0</v>
      </c>
    </row>
    <row r="5" customFormat="false" ht="15" hidden="false" customHeight="false" outlineLevel="0" collapsed="false">
      <c r="A5" s="4" t="s">
        <v>108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customFormat="false" ht="15" hidden="false" customHeight="false" outlineLevel="0" collapsed="false">
      <c r="A6" s="6" t="s">
        <v>109</v>
      </c>
      <c r="B6" s="20"/>
      <c r="C6" s="7" t="n">
        <f aca="false">Hypothèses!$C$24*12*(1+Hypothèses!$C$26)^(C$3-1)</f>
        <v>15360</v>
      </c>
      <c r="D6" s="7" t="n">
        <f aca="false">Hypothèses!$C$24*12*(1+Hypothèses!$C$26)^(D$3-1)</f>
        <v>15590.4</v>
      </c>
      <c r="E6" s="7" t="n">
        <f aca="false">Hypothèses!$C$24*12*(1+Hypothèses!$C$26)^(E$3-1)</f>
        <v>15824.256</v>
      </c>
      <c r="F6" s="7" t="n">
        <f aca="false">Hypothèses!$C$24*12*(1+Hypothèses!$C$26)^(F$3-1)</f>
        <v>16061.61984</v>
      </c>
      <c r="G6" s="7" t="n">
        <f aca="false">Hypothèses!$C$24*12*(1+Hypothèses!$C$26)^(G$3-1)</f>
        <v>16302.5441376</v>
      </c>
      <c r="H6" s="7" t="n">
        <f aca="false">Hypothèses!$C$24*12*(1+Hypothèses!$C$26)^(H$3-1)</f>
        <v>16547.082299664</v>
      </c>
      <c r="I6" s="7" t="n">
        <f aca="false">Hypothèses!$C$24*12*(1+Hypothèses!$C$26)^(I$3-1)</f>
        <v>16795.288534159</v>
      </c>
      <c r="J6" s="7" t="n">
        <f aca="false">Hypothèses!$C$24*12*(1+Hypothèses!$C$26)^(J$3-1)</f>
        <v>17047.2178621713</v>
      </c>
      <c r="K6" s="7" t="n">
        <f aca="false">Hypothèses!$C$24*12*(1+Hypothèses!$C$26)^(K$3-1)</f>
        <v>17302.9261301039</v>
      </c>
      <c r="L6" s="7" t="n">
        <f aca="false">Hypothèses!$C$24*12*(1+Hypothèses!$C$26)^(L$3-1)</f>
        <v>17562.4700220555</v>
      </c>
      <c r="M6" s="7" t="n">
        <f aca="false">Hypothèses!$C$24*12*(1+Hypothèses!$C$26)^(M$3-1)</f>
        <v>17825.9070723863</v>
      </c>
      <c r="N6" s="7" t="n">
        <f aca="false">Hypothèses!$C$24*12*(1+Hypothèses!$C$26)^(N$3-1)</f>
        <v>18093.2956784721</v>
      </c>
      <c r="O6" s="7" t="n">
        <f aca="false">Hypothèses!$C$24*12*(1+Hypothèses!$C$26)^(O$3-1)</f>
        <v>18364.6951136492</v>
      </c>
      <c r="P6" s="7" t="n">
        <f aca="false">Hypothèses!$C$24*12*(1+Hypothèses!$C$26)^(P$3-1)</f>
        <v>18640.1655403539</v>
      </c>
      <c r="Q6" s="7" t="n">
        <f aca="false">Hypothèses!$C$24*12*(1+Hypothèses!$C$26)^(Q$3-1)</f>
        <v>18919.7680234592</v>
      </c>
      <c r="R6" s="7" t="n">
        <f aca="false">Hypothèses!$C$24*12*(1+Hypothèses!$C$26)^(R$3-1)</f>
        <v>19203.5645438111</v>
      </c>
      <c r="S6" s="7" t="n">
        <f aca="false">Hypothèses!$C$24*12*(1+Hypothèses!$C$26)^(S$3-1)</f>
        <v>19491.6180119683</v>
      </c>
      <c r="T6" s="7" t="n">
        <f aca="false">Hypothèses!$C$24*12*(1+Hypothèses!$C$26)^(T$3-1)</f>
        <v>19783.9922821478</v>
      </c>
      <c r="U6" s="7" t="n">
        <f aca="false">Hypothèses!$C$24*12*(1+Hypothèses!$C$26)^(U$3-1)</f>
        <v>20080.75216638</v>
      </c>
      <c r="V6" s="7" t="n">
        <f aca="false">Hypothèses!$C$24*12*(1+Hypothèses!$C$26)^(V$3-1)</f>
        <v>20381.9634488757</v>
      </c>
      <c r="W6" s="7" t="n">
        <f aca="false">Hypothèses!$C$24*12*(1+Hypothèses!$C$26)^(W$3-1)</f>
        <v>20687.6929006088</v>
      </c>
      <c r="X6" s="7" t="n">
        <f aca="false">Hypothèses!$C$24*12*(1+Hypothèses!$C$26)^(X$3-1)</f>
        <v>20998.008294118</v>
      </c>
      <c r="Y6" s="7" t="n">
        <f aca="false">Hypothèses!$C$24*12*(1+Hypothèses!$C$26)^(Y$3-1)</f>
        <v>21312.9784185297</v>
      </c>
      <c r="Z6" s="7" t="n">
        <f aca="false">Hypothèses!$C$24*12*(1+Hypothèses!$C$26)^(Z$3-1)</f>
        <v>21632.6730948077</v>
      </c>
      <c r="AA6" s="7" t="n">
        <f aca="false">Hypothèses!$C$24*12*(1+Hypothèses!$C$26)^(AA$3-1)</f>
        <v>21957.1631912298</v>
      </c>
    </row>
    <row r="7" customFormat="false" ht="15" hidden="false" customHeight="false" outlineLevel="0" collapsed="false">
      <c r="A7" s="6" t="s">
        <v>110</v>
      </c>
      <c r="B7" s="20"/>
      <c r="C7" s="7" t="n">
        <f aca="false">-C6*Hypothèses!$C$25</f>
        <v>-614.4</v>
      </c>
      <c r="D7" s="7" t="n">
        <f aca="false">-D6*Hypothèses!$C$25</f>
        <v>-623.616</v>
      </c>
      <c r="E7" s="7" t="n">
        <f aca="false">-E6*Hypothèses!$C$25</f>
        <v>-632.97024</v>
      </c>
      <c r="F7" s="7" t="n">
        <f aca="false">-F6*Hypothèses!$C$25</f>
        <v>-642.4647936</v>
      </c>
      <c r="G7" s="7" t="n">
        <f aca="false">-G6*Hypothèses!$C$25</f>
        <v>-652.101765504</v>
      </c>
      <c r="H7" s="7" t="n">
        <f aca="false">-H6*Hypothèses!$C$25</f>
        <v>-661.88329198656</v>
      </c>
      <c r="I7" s="7" t="n">
        <f aca="false">-I6*Hypothèses!$C$25</f>
        <v>-671.811541366358</v>
      </c>
      <c r="J7" s="7" t="n">
        <f aca="false">-J6*Hypothèses!$C$25</f>
        <v>-681.888714486854</v>
      </c>
      <c r="K7" s="7" t="n">
        <f aca="false">-K6*Hypothèses!$C$25</f>
        <v>-692.117045204156</v>
      </c>
      <c r="L7" s="7" t="n">
        <f aca="false">-L6*Hypothèses!$C$25</f>
        <v>-702.498800882218</v>
      </c>
      <c r="M7" s="7" t="n">
        <f aca="false">-M6*Hypothèses!$C$25</f>
        <v>-713.036282895452</v>
      </c>
      <c r="N7" s="7" t="n">
        <f aca="false">-N6*Hypothèses!$C$25</f>
        <v>-723.731827138883</v>
      </c>
      <c r="O7" s="7" t="n">
        <f aca="false">-O6*Hypothèses!$C$25</f>
        <v>-734.587804545967</v>
      </c>
      <c r="P7" s="7" t="n">
        <f aca="false">-P6*Hypothèses!$C$25</f>
        <v>-745.606621614156</v>
      </c>
      <c r="Q7" s="7" t="n">
        <f aca="false">-Q6*Hypothèses!$C$25</f>
        <v>-756.790720938368</v>
      </c>
      <c r="R7" s="7" t="n">
        <f aca="false">-R6*Hypothèses!$C$25</f>
        <v>-768.142581752444</v>
      </c>
      <c r="S7" s="7" t="n">
        <f aca="false">-S6*Hypothèses!$C$25</f>
        <v>-779.66472047873</v>
      </c>
      <c r="T7" s="7" t="n">
        <f aca="false">-T6*Hypothèses!$C$25</f>
        <v>-791.359691285911</v>
      </c>
      <c r="U7" s="7" t="n">
        <f aca="false">-U6*Hypothèses!$C$25</f>
        <v>-803.2300866552</v>
      </c>
      <c r="V7" s="7" t="n">
        <f aca="false">-V6*Hypothèses!$C$25</f>
        <v>-815.278537955027</v>
      </c>
      <c r="W7" s="7" t="n">
        <f aca="false">-W6*Hypothèses!$C$25</f>
        <v>-827.507716024353</v>
      </c>
      <c r="X7" s="7" t="n">
        <f aca="false">-X6*Hypothèses!$C$25</f>
        <v>-839.920331764718</v>
      </c>
      <c r="Y7" s="7" t="n">
        <f aca="false">-Y6*Hypothèses!$C$25</f>
        <v>-852.519136741189</v>
      </c>
      <c r="Z7" s="7" t="n">
        <f aca="false">-Z6*Hypothèses!$C$25</f>
        <v>-865.306923792307</v>
      </c>
      <c r="AA7" s="7" t="n">
        <f aca="false">-AA6*Hypothèses!$C$25</f>
        <v>-878.286527649191</v>
      </c>
    </row>
    <row r="8" customFormat="false" ht="15" hidden="false" customHeight="false" outlineLevel="0" collapsed="false">
      <c r="A8" s="13" t="s">
        <v>111</v>
      </c>
      <c r="B8" s="33"/>
      <c r="C8" s="33" t="n">
        <f aca="false">C6+C7</f>
        <v>14745.6</v>
      </c>
      <c r="D8" s="33" t="n">
        <f aca="false">D6+D7</f>
        <v>14966.784</v>
      </c>
      <c r="E8" s="33" t="n">
        <f aca="false">E6+E7</f>
        <v>15191.28576</v>
      </c>
      <c r="F8" s="33" t="n">
        <f aca="false">F6+F7</f>
        <v>15419.1550464</v>
      </c>
      <c r="G8" s="33" t="n">
        <f aca="false">G6+G7</f>
        <v>15650.442372096</v>
      </c>
      <c r="H8" s="33" t="n">
        <f aca="false">H6+H7</f>
        <v>15885.1990076774</v>
      </c>
      <c r="I8" s="33" t="n">
        <f aca="false">I6+I7</f>
        <v>16123.4769927926</v>
      </c>
      <c r="J8" s="33" t="n">
        <f aca="false">J6+J7</f>
        <v>16365.3291476845</v>
      </c>
      <c r="K8" s="33" t="n">
        <f aca="false">K6+K7</f>
        <v>16610.8090848998</v>
      </c>
      <c r="L8" s="33" t="n">
        <f aca="false">L6+L7</f>
        <v>16859.9712211732</v>
      </c>
      <c r="M8" s="33" t="n">
        <f aca="false">M6+M7</f>
        <v>17112.8707894908</v>
      </c>
      <c r="N8" s="33" t="n">
        <f aca="false">N6+N7</f>
        <v>17369.5638513332</v>
      </c>
      <c r="O8" s="33" t="n">
        <f aca="false">O6+O7</f>
        <v>17630.1073091032</v>
      </c>
      <c r="P8" s="33" t="n">
        <f aca="false">P6+P7</f>
        <v>17894.5589187397</v>
      </c>
      <c r="Q8" s="33" t="n">
        <f aca="false">Q6+Q7</f>
        <v>18162.9773025208</v>
      </c>
      <c r="R8" s="33" t="n">
        <f aca="false">R6+R7</f>
        <v>18435.4219620586</v>
      </c>
      <c r="S8" s="33" t="n">
        <f aca="false">S6+S7</f>
        <v>18711.9532914895</v>
      </c>
      <c r="T8" s="33" t="n">
        <f aca="false">T6+T7</f>
        <v>18992.6325908619</v>
      </c>
      <c r="U8" s="33" t="n">
        <f aca="false">U6+U7</f>
        <v>19277.5220797248</v>
      </c>
      <c r="V8" s="33" t="n">
        <f aca="false">V6+V7</f>
        <v>19566.6849109207</v>
      </c>
      <c r="W8" s="33" t="n">
        <f aca="false">W6+W7</f>
        <v>19860.1851845845</v>
      </c>
      <c r="X8" s="33" t="n">
        <f aca="false">X6+X7</f>
        <v>20158.0879623532</v>
      </c>
      <c r="Y8" s="33" t="n">
        <f aca="false">Y6+Y7</f>
        <v>20460.4592817885</v>
      </c>
      <c r="Z8" s="33" t="n">
        <f aca="false">Z6+Z7</f>
        <v>20767.3661710154</v>
      </c>
      <c r="AA8" s="33" t="n">
        <f aca="false">AA6+AA7</f>
        <v>21078.8766635806</v>
      </c>
    </row>
    <row r="9" customFormat="false" ht="15" hidden="false" customHeight="false" outlineLevel="0" collapsed="false">
      <c r="A9" s="4" t="s">
        <v>112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customFormat="false" ht="15" hidden="false" customHeight="false" outlineLevel="0" collapsed="false">
      <c r="A10" s="6" t="s">
        <v>113</v>
      </c>
      <c r="B10" s="20"/>
      <c r="C10" s="7" t="n">
        <f aca="false">-Hypothèses!$C$28*(1+Hypothèses!$C$34)^(C$3-1)</f>
        <v>-1200</v>
      </c>
      <c r="D10" s="7" t="n">
        <f aca="false">-Hypothèses!$C$28*(1+Hypothèses!$C$34)^(D$3-1)</f>
        <v>-1224</v>
      </c>
      <c r="E10" s="7" t="n">
        <f aca="false">-Hypothèses!$C$28*(1+Hypothèses!$C$34)^(E$3-1)</f>
        <v>-1248.48</v>
      </c>
      <c r="F10" s="7" t="n">
        <f aca="false">-Hypothèses!$C$28*(1+Hypothèses!$C$34)^(F$3-1)</f>
        <v>-1273.4496</v>
      </c>
      <c r="G10" s="7" t="n">
        <f aca="false">-Hypothèses!$C$28*(1+Hypothèses!$C$34)^(G$3-1)</f>
        <v>-1298.918592</v>
      </c>
      <c r="H10" s="7" t="n">
        <f aca="false">-Hypothèses!$C$28*(1+Hypothèses!$C$34)^(H$3-1)</f>
        <v>-1324.89696384</v>
      </c>
      <c r="I10" s="7" t="n">
        <f aca="false">-Hypothèses!$C$28*(1+Hypothèses!$C$34)^(I$3-1)</f>
        <v>-1351.3949031168</v>
      </c>
      <c r="J10" s="7" t="n">
        <f aca="false">-Hypothèses!$C$28*(1+Hypothèses!$C$34)^(J$3-1)</f>
        <v>-1378.42280117914</v>
      </c>
      <c r="K10" s="7" t="n">
        <f aca="false">-Hypothèses!$C$28*(1+Hypothèses!$C$34)^(K$3-1)</f>
        <v>-1405.99125720272</v>
      </c>
      <c r="L10" s="7" t="n">
        <f aca="false">-Hypothèses!$C$28*(1+Hypothèses!$C$34)^(L$3-1)</f>
        <v>-1434.11108234677</v>
      </c>
      <c r="M10" s="7" t="n">
        <f aca="false">-Hypothèses!$C$28*(1+Hypothèses!$C$34)^(M$3-1)</f>
        <v>-1462.79330399371</v>
      </c>
      <c r="N10" s="7" t="n">
        <f aca="false">-Hypothèses!$C$28*(1+Hypothèses!$C$34)^(N$3-1)</f>
        <v>-1492.04917007358</v>
      </c>
      <c r="O10" s="7" t="n">
        <f aca="false">-Hypothèses!$C$28*(1+Hypothèses!$C$34)^(O$3-1)</f>
        <v>-1521.89015347505</v>
      </c>
      <c r="P10" s="7" t="n">
        <f aca="false">-Hypothèses!$C$28*(1+Hypothèses!$C$34)^(P$3-1)</f>
        <v>-1552.32795654456</v>
      </c>
      <c r="Q10" s="7" t="n">
        <f aca="false">-Hypothèses!$C$28*(1+Hypothèses!$C$34)^(Q$3-1)</f>
        <v>-1583.37451567545</v>
      </c>
      <c r="R10" s="7" t="n">
        <f aca="false">-Hypothèses!$C$28*(1+Hypothèses!$C$34)^(R$3-1)</f>
        <v>-1615.04200598896</v>
      </c>
      <c r="S10" s="7" t="n">
        <f aca="false">-Hypothèses!$C$28*(1+Hypothèses!$C$34)^(S$3-1)</f>
        <v>-1647.34284610873</v>
      </c>
      <c r="T10" s="7" t="n">
        <f aca="false">-Hypothèses!$C$28*(1+Hypothèses!$C$34)^(T$3-1)</f>
        <v>-1680.28970303091</v>
      </c>
      <c r="U10" s="7" t="n">
        <f aca="false">-Hypothèses!$C$28*(1+Hypothèses!$C$34)^(U$3-1)</f>
        <v>-1713.89549709153</v>
      </c>
      <c r="V10" s="7" t="n">
        <f aca="false">-Hypothèses!$C$28*(1+Hypothèses!$C$34)^(V$3-1)</f>
        <v>-1748.17340703336</v>
      </c>
      <c r="W10" s="7" t="n">
        <f aca="false">-Hypothèses!$C$28*(1+Hypothèses!$C$34)^(W$3-1)</f>
        <v>-1783.13687517403</v>
      </c>
      <c r="X10" s="7" t="n">
        <f aca="false">-Hypothèses!$C$28*(1+Hypothèses!$C$34)^(X$3-1)</f>
        <v>-1818.79961267751</v>
      </c>
      <c r="Y10" s="7" t="n">
        <f aca="false">-Hypothèses!$C$28*(1+Hypothèses!$C$34)^(Y$3-1)</f>
        <v>-1855.17560493106</v>
      </c>
      <c r="Z10" s="7" t="n">
        <f aca="false">-Hypothèses!$C$28*(1+Hypothèses!$C$34)^(Z$3-1)</f>
        <v>-1892.27911702968</v>
      </c>
      <c r="AA10" s="7" t="n">
        <f aca="false">-Hypothèses!$C$28*(1+Hypothèses!$C$34)^(AA$3-1)</f>
        <v>-1930.12469937027</v>
      </c>
    </row>
    <row r="11" customFormat="false" ht="15" hidden="false" customHeight="false" outlineLevel="0" collapsed="false">
      <c r="A11" s="6" t="s">
        <v>114</v>
      </c>
      <c r="B11" s="20"/>
      <c r="C11" s="7" t="n">
        <f aca="false">-Hypothèses!$C$29*(1+Hypothèses!$C$34)^(C$3-1)</f>
        <v>-1000</v>
      </c>
      <c r="D11" s="7" t="n">
        <f aca="false">-Hypothèses!$C$29*(1+Hypothèses!$C$34)^(D$3-1)</f>
        <v>-1020</v>
      </c>
      <c r="E11" s="7" t="n">
        <f aca="false">-Hypothèses!$C$29*(1+Hypothèses!$C$34)^(E$3-1)</f>
        <v>-1040.4</v>
      </c>
      <c r="F11" s="7" t="n">
        <f aca="false">-Hypothèses!$C$29*(1+Hypothèses!$C$34)^(F$3-1)</f>
        <v>-1061.208</v>
      </c>
      <c r="G11" s="7" t="n">
        <f aca="false">-Hypothèses!$C$29*(1+Hypothèses!$C$34)^(G$3-1)</f>
        <v>-1082.43216</v>
      </c>
      <c r="H11" s="7" t="n">
        <f aca="false">-Hypothèses!$C$29*(1+Hypothèses!$C$34)^(H$3-1)</f>
        <v>-1104.0808032</v>
      </c>
      <c r="I11" s="7" t="n">
        <f aca="false">-Hypothèses!$C$29*(1+Hypothèses!$C$34)^(I$3-1)</f>
        <v>-1126.162419264</v>
      </c>
      <c r="J11" s="7" t="n">
        <f aca="false">-Hypothèses!$C$29*(1+Hypothèses!$C$34)^(J$3-1)</f>
        <v>-1148.68566764928</v>
      </c>
      <c r="K11" s="7" t="n">
        <f aca="false">-Hypothèses!$C$29*(1+Hypothèses!$C$34)^(K$3-1)</f>
        <v>-1171.65938100227</v>
      </c>
      <c r="L11" s="7" t="n">
        <f aca="false">-Hypothèses!$C$29*(1+Hypothèses!$C$34)^(L$3-1)</f>
        <v>-1195.09256862231</v>
      </c>
      <c r="M11" s="7" t="n">
        <f aca="false">-Hypothèses!$C$29*(1+Hypothèses!$C$34)^(M$3-1)</f>
        <v>-1218.99441999476</v>
      </c>
      <c r="N11" s="7" t="n">
        <f aca="false">-Hypothèses!$C$29*(1+Hypothèses!$C$34)^(N$3-1)</f>
        <v>-1243.37430839465</v>
      </c>
      <c r="O11" s="7" t="n">
        <f aca="false">-Hypothèses!$C$29*(1+Hypothèses!$C$34)^(O$3-1)</f>
        <v>-1268.24179456255</v>
      </c>
      <c r="P11" s="7" t="n">
        <f aca="false">-Hypothèses!$C$29*(1+Hypothèses!$C$34)^(P$3-1)</f>
        <v>-1293.6066304538</v>
      </c>
      <c r="Q11" s="7" t="n">
        <f aca="false">-Hypothèses!$C$29*(1+Hypothèses!$C$34)^(Q$3-1)</f>
        <v>-1319.47876306287</v>
      </c>
      <c r="R11" s="7" t="n">
        <f aca="false">-Hypothèses!$C$29*(1+Hypothèses!$C$34)^(R$3-1)</f>
        <v>-1345.86833832413</v>
      </c>
      <c r="S11" s="7" t="n">
        <f aca="false">-Hypothèses!$C$29*(1+Hypothèses!$C$34)^(S$3-1)</f>
        <v>-1372.78570509061</v>
      </c>
      <c r="T11" s="7" t="n">
        <f aca="false">-Hypothèses!$C$29*(1+Hypothèses!$C$34)^(T$3-1)</f>
        <v>-1400.24141919243</v>
      </c>
      <c r="U11" s="7" t="n">
        <f aca="false">-Hypothèses!$C$29*(1+Hypothèses!$C$34)^(U$3-1)</f>
        <v>-1428.24624757627</v>
      </c>
      <c r="V11" s="7" t="n">
        <f aca="false">-Hypothèses!$C$29*(1+Hypothèses!$C$34)^(V$3-1)</f>
        <v>-1456.8111725278</v>
      </c>
      <c r="W11" s="7" t="n">
        <f aca="false">-Hypothèses!$C$29*(1+Hypothèses!$C$34)^(W$3-1)</f>
        <v>-1485.94739597836</v>
      </c>
      <c r="X11" s="7" t="n">
        <f aca="false">-Hypothèses!$C$29*(1+Hypothèses!$C$34)^(X$3-1)</f>
        <v>-1515.66634389792</v>
      </c>
      <c r="Y11" s="7" t="n">
        <f aca="false">-Hypothèses!$C$29*(1+Hypothèses!$C$34)^(Y$3-1)</f>
        <v>-1545.97967077588</v>
      </c>
      <c r="Z11" s="7" t="n">
        <f aca="false">-Hypothèses!$C$29*(1+Hypothèses!$C$34)^(Z$3-1)</f>
        <v>-1576.8992641914</v>
      </c>
      <c r="AA11" s="7" t="n">
        <f aca="false">-Hypothèses!$C$29*(1+Hypothèses!$C$34)^(AA$3-1)</f>
        <v>-1608.43724947523</v>
      </c>
    </row>
    <row r="12" customFormat="false" ht="15" hidden="false" customHeight="false" outlineLevel="0" collapsed="false">
      <c r="A12" s="6" t="s">
        <v>115</v>
      </c>
      <c r="B12" s="20"/>
      <c r="C12" s="7" t="n">
        <f aca="false">-Hypothèses!$C$30*(1+Hypothèses!$C$34)^(C$3-1)</f>
        <v>-200</v>
      </c>
      <c r="D12" s="7" t="n">
        <f aca="false">-Hypothèses!$C$30*(1+Hypothèses!$C$34)^(D$3-1)</f>
        <v>-204</v>
      </c>
      <c r="E12" s="7" t="n">
        <f aca="false">-Hypothèses!$C$30*(1+Hypothèses!$C$34)^(E$3-1)</f>
        <v>-208.08</v>
      </c>
      <c r="F12" s="7" t="n">
        <f aca="false">-Hypothèses!$C$30*(1+Hypothèses!$C$34)^(F$3-1)</f>
        <v>-212.2416</v>
      </c>
      <c r="G12" s="7" t="n">
        <f aca="false">-Hypothèses!$C$30*(1+Hypothèses!$C$34)^(G$3-1)</f>
        <v>-216.486432</v>
      </c>
      <c r="H12" s="7" t="n">
        <f aca="false">-Hypothèses!$C$30*(1+Hypothèses!$C$34)^(H$3-1)</f>
        <v>-220.81616064</v>
      </c>
      <c r="I12" s="7" t="n">
        <f aca="false">-Hypothèses!$C$30*(1+Hypothèses!$C$34)^(I$3-1)</f>
        <v>-225.2324838528</v>
      </c>
      <c r="J12" s="7" t="n">
        <f aca="false">-Hypothèses!$C$30*(1+Hypothèses!$C$34)^(J$3-1)</f>
        <v>-229.737133529856</v>
      </c>
      <c r="K12" s="7" t="n">
        <f aca="false">-Hypothèses!$C$30*(1+Hypothèses!$C$34)^(K$3-1)</f>
        <v>-234.331876200453</v>
      </c>
      <c r="L12" s="7" t="n">
        <f aca="false">-Hypothèses!$C$30*(1+Hypothèses!$C$34)^(L$3-1)</f>
        <v>-239.018513724462</v>
      </c>
      <c r="M12" s="7" t="n">
        <f aca="false">-Hypothèses!$C$30*(1+Hypothèses!$C$34)^(M$3-1)</f>
        <v>-243.798883998951</v>
      </c>
      <c r="N12" s="7" t="n">
        <f aca="false">-Hypothèses!$C$30*(1+Hypothèses!$C$34)^(N$3-1)</f>
        <v>-248.67486167893</v>
      </c>
      <c r="O12" s="7" t="n">
        <f aca="false">-Hypothèses!$C$30*(1+Hypothèses!$C$34)^(O$3-1)</f>
        <v>-253.648358912509</v>
      </c>
      <c r="P12" s="7" t="n">
        <f aca="false">-Hypothèses!$C$30*(1+Hypothèses!$C$34)^(P$3-1)</f>
        <v>-258.721326090759</v>
      </c>
      <c r="Q12" s="7" t="n">
        <f aca="false">-Hypothèses!$C$30*(1+Hypothèses!$C$34)^(Q$3-1)</f>
        <v>-263.895752612575</v>
      </c>
      <c r="R12" s="7" t="n">
        <f aca="false">-Hypothèses!$C$30*(1+Hypothèses!$C$34)^(R$3-1)</f>
        <v>-269.173667664826</v>
      </c>
      <c r="S12" s="7" t="n">
        <f aca="false">-Hypothèses!$C$30*(1+Hypothèses!$C$34)^(S$3-1)</f>
        <v>-274.557141018123</v>
      </c>
      <c r="T12" s="7" t="n">
        <f aca="false">-Hypothèses!$C$30*(1+Hypothèses!$C$34)^(T$3-1)</f>
        <v>-280.048283838485</v>
      </c>
      <c r="U12" s="7" t="n">
        <f aca="false">-Hypothèses!$C$30*(1+Hypothèses!$C$34)^(U$3-1)</f>
        <v>-285.649249515255</v>
      </c>
      <c r="V12" s="7" t="n">
        <f aca="false">-Hypothèses!$C$30*(1+Hypothèses!$C$34)^(V$3-1)</f>
        <v>-291.36223450556</v>
      </c>
      <c r="W12" s="7" t="n">
        <f aca="false">-Hypothèses!$C$30*(1+Hypothèses!$C$34)^(W$3-1)</f>
        <v>-297.189479195671</v>
      </c>
      <c r="X12" s="7" t="n">
        <f aca="false">-Hypothèses!$C$30*(1+Hypothèses!$C$34)^(X$3-1)</f>
        <v>-303.133268779584</v>
      </c>
      <c r="Y12" s="7" t="n">
        <f aca="false">-Hypothèses!$C$30*(1+Hypothèses!$C$34)^(Y$3-1)</f>
        <v>-309.195934155176</v>
      </c>
      <c r="Z12" s="7" t="n">
        <f aca="false">-Hypothèses!$C$30*(1+Hypothèses!$C$34)^(Z$3-1)</f>
        <v>-315.37985283828</v>
      </c>
      <c r="AA12" s="7" t="n">
        <f aca="false">-Hypothèses!$C$30*(1+Hypothèses!$C$34)^(AA$3-1)</f>
        <v>-321.687449895045</v>
      </c>
    </row>
    <row r="13" customFormat="false" ht="15" hidden="false" customHeight="false" outlineLevel="0" collapsed="false">
      <c r="A13" s="6" t="s">
        <v>116</v>
      </c>
      <c r="B13" s="20"/>
      <c r="C13" s="7" t="n">
        <f aca="false">-Hypothèses!$C$31*(1+Hypothèses!$C$34)^(C$3-1)</f>
        <v>-500</v>
      </c>
      <c r="D13" s="7" t="n">
        <f aca="false">-Hypothèses!$C$31*(1+Hypothèses!$C$34)^(D$3-1)</f>
        <v>-510</v>
      </c>
      <c r="E13" s="7" t="n">
        <f aca="false">-Hypothèses!$C$31*(1+Hypothèses!$C$34)^(E$3-1)</f>
        <v>-520.2</v>
      </c>
      <c r="F13" s="7" t="n">
        <f aca="false">-Hypothèses!$C$31*(1+Hypothèses!$C$34)^(F$3-1)</f>
        <v>-530.604</v>
      </c>
      <c r="G13" s="7" t="n">
        <f aca="false">-Hypothèses!$C$31*(1+Hypothèses!$C$34)^(G$3-1)</f>
        <v>-541.21608</v>
      </c>
      <c r="H13" s="7" t="n">
        <f aca="false">-Hypothèses!$C$31*(1+Hypothèses!$C$34)^(H$3-1)</f>
        <v>-552.0404016</v>
      </c>
      <c r="I13" s="7" t="n">
        <f aca="false">-Hypothèses!$C$31*(1+Hypothèses!$C$34)^(I$3-1)</f>
        <v>-563.081209632</v>
      </c>
      <c r="J13" s="7" t="n">
        <f aca="false">-Hypothèses!$C$31*(1+Hypothèses!$C$34)^(J$3-1)</f>
        <v>-574.34283382464</v>
      </c>
      <c r="K13" s="7" t="n">
        <f aca="false">-Hypothèses!$C$31*(1+Hypothèses!$C$34)^(K$3-1)</f>
        <v>-585.829690501133</v>
      </c>
      <c r="L13" s="7" t="n">
        <f aca="false">-Hypothèses!$C$31*(1+Hypothèses!$C$34)^(L$3-1)</f>
        <v>-597.546284311156</v>
      </c>
      <c r="M13" s="7" t="n">
        <f aca="false">-Hypothèses!$C$31*(1+Hypothèses!$C$34)^(M$3-1)</f>
        <v>-609.497209997379</v>
      </c>
      <c r="N13" s="7" t="n">
        <f aca="false">-Hypothèses!$C$31*(1+Hypothèses!$C$34)^(N$3-1)</f>
        <v>-621.687154197326</v>
      </c>
      <c r="O13" s="7" t="n">
        <f aca="false">-Hypothèses!$C$31*(1+Hypothèses!$C$34)^(O$3-1)</f>
        <v>-634.120897281273</v>
      </c>
      <c r="P13" s="7" t="n">
        <f aca="false">-Hypothèses!$C$31*(1+Hypothèses!$C$34)^(P$3-1)</f>
        <v>-646.803315226898</v>
      </c>
      <c r="Q13" s="7" t="n">
        <f aca="false">-Hypothèses!$C$31*(1+Hypothèses!$C$34)^(Q$3-1)</f>
        <v>-659.739381531436</v>
      </c>
      <c r="R13" s="7" t="n">
        <f aca="false">-Hypothèses!$C$31*(1+Hypothèses!$C$34)^(R$3-1)</f>
        <v>-672.934169162065</v>
      </c>
      <c r="S13" s="7" t="n">
        <f aca="false">-Hypothèses!$C$31*(1+Hypothèses!$C$34)^(S$3-1)</f>
        <v>-686.392852545306</v>
      </c>
      <c r="T13" s="7" t="n">
        <f aca="false">-Hypothèses!$C$31*(1+Hypothèses!$C$34)^(T$3-1)</f>
        <v>-700.120709596213</v>
      </c>
      <c r="U13" s="7" t="n">
        <f aca="false">-Hypothèses!$C$31*(1+Hypothèses!$C$34)^(U$3-1)</f>
        <v>-714.123123788137</v>
      </c>
      <c r="V13" s="7" t="n">
        <f aca="false">-Hypothèses!$C$31*(1+Hypothèses!$C$34)^(V$3-1)</f>
        <v>-728.405586263899</v>
      </c>
      <c r="W13" s="7" t="n">
        <f aca="false">-Hypothèses!$C$31*(1+Hypothèses!$C$34)^(W$3-1)</f>
        <v>-742.973697989178</v>
      </c>
      <c r="X13" s="7" t="n">
        <f aca="false">-Hypothèses!$C$31*(1+Hypothèses!$C$34)^(X$3-1)</f>
        <v>-757.833171948961</v>
      </c>
      <c r="Y13" s="7" t="n">
        <f aca="false">-Hypothèses!$C$31*(1+Hypothèses!$C$34)^(Y$3-1)</f>
        <v>-772.98983538794</v>
      </c>
      <c r="Z13" s="7" t="n">
        <f aca="false">-Hypothèses!$C$31*(1+Hypothèses!$C$34)^(Z$3-1)</f>
        <v>-788.449632095699</v>
      </c>
      <c r="AA13" s="7" t="n">
        <f aca="false">-Hypothèses!$C$31*(1+Hypothèses!$C$34)^(AA$3-1)</f>
        <v>-804.218624737613</v>
      </c>
    </row>
    <row r="14" customFormat="false" ht="15" hidden="false" customHeight="false" outlineLevel="0" collapsed="false">
      <c r="A14" s="6" t="s">
        <v>117</v>
      </c>
      <c r="B14" s="20"/>
      <c r="C14" s="7" t="n">
        <f aca="false">-Hypothèses!$C$32*(1+Hypothèses!$C$34)^(C$3-1)</f>
        <v>-700</v>
      </c>
      <c r="D14" s="7" t="n">
        <f aca="false">-Hypothèses!$C$32*(1+Hypothèses!$C$34)^(D$3-1)</f>
        <v>-714</v>
      </c>
      <c r="E14" s="7" t="n">
        <f aca="false">-Hypothèses!$C$32*(1+Hypothèses!$C$34)^(E$3-1)</f>
        <v>-728.28</v>
      </c>
      <c r="F14" s="7" t="n">
        <f aca="false">-Hypothèses!$C$32*(1+Hypothèses!$C$34)^(F$3-1)</f>
        <v>-742.8456</v>
      </c>
      <c r="G14" s="7" t="n">
        <f aca="false">-Hypothèses!$C$32*(1+Hypothèses!$C$34)^(G$3-1)</f>
        <v>-757.702512</v>
      </c>
      <c r="H14" s="7" t="n">
        <f aca="false">-Hypothèses!$C$32*(1+Hypothèses!$C$34)^(H$3-1)</f>
        <v>-772.85656224</v>
      </c>
      <c r="I14" s="7" t="n">
        <f aca="false">-Hypothèses!$C$32*(1+Hypothèses!$C$34)^(I$3-1)</f>
        <v>-788.3136934848</v>
      </c>
      <c r="J14" s="7" t="n">
        <f aca="false">-Hypothèses!$C$32*(1+Hypothèses!$C$34)^(J$3-1)</f>
        <v>-804.079967354496</v>
      </c>
      <c r="K14" s="7" t="n">
        <f aca="false">-Hypothèses!$C$32*(1+Hypothèses!$C$34)^(K$3-1)</f>
        <v>-820.161566701586</v>
      </c>
      <c r="L14" s="7" t="n">
        <f aca="false">-Hypothèses!$C$32*(1+Hypothèses!$C$34)^(L$3-1)</f>
        <v>-836.564798035618</v>
      </c>
      <c r="M14" s="7" t="n">
        <f aca="false">-Hypothèses!$C$32*(1+Hypothèses!$C$34)^(M$3-1)</f>
        <v>-853.29609399633</v>
      </c>
      <c r="N14" s="7" t="n">
        <f aca="false">-Hypothèses!$C$32*(1+Hypothèses!$C$34)^(N$3-1)</f>
        <v>-870.362015876257</v>
      </c>
      <c r="O14" s="7" t="n">
        <f aca="false">-Hypothèses!$C$32*(1+Hypothèses!$C$34)^(O$3-1)</f>
        <v>-887.769256193782</v>
      </c>
      <c r="P14" s="7" t="n">
        <f aca="false">-Hypothèses!$C$32*(1+Hypothèses!$C$34)^(P$3-1)</f>
        <v>-905.524641317658</v>
      </c>
      <c r="Q14" s="7" t="n">
        <f aca="false">-Hypothèses!$C$32*(1+Hypothèses!$C$34)^(Q$3-1)</f>
        <v>-923.635134144011</v>
      </c>
      <c r="R14" s="7" t="n">
        <f aca="false">-Hypothèses!$C$32*(1+Hypothèses!$C$34)^(R$3-1)</f>
        <v>-942.107836826891</v>
      </c>
      <c r="S14" s="7" t="n">
        <f aca="false">-Hypothèses!$C$32*(1+Hypothèses!$C$34)^(S$3-1)</f>
        <v>-960.949993563429</v>
      </c>
      <c r="T14" s="7" t="n">
        <f aca="false">-Hypothèses!$C$32*(1+Hypothèses!$C$34)^(T$3-1)</f>
        <v>-980.168993434697</v>
      </c>
      <c r="U14" s="7" t="n">
        <f aca="false">-Hypothèses!$C$32*(1+Hypothèses!$C$34)^(U$3-1)</f>
        <v>-999.772373303391</v>
      </c>
      <c r="V14" s="7" t="n">
        <f aca="false">-Hypothèses!$C$32*(1+Hypothèses!$C$34)^(V$3-1)</f>
        <v>-1019.76782076946</v>
      </c>
      <c r="W14" s="7" t="n">
        <f aca="false">-Hypothèses!$C$32*(1+Hypothèses!$C$34)^(W$3-1)</f>
        <v>-1040.16317718485</v>
      </c>
      <c r="X14" s="7" t="n">
        <f aca="false">-Hypothèses!$C$32*(1+Hypothèses!$C$34)^(X$3-1)</f>
        <v>-1060.96644072855</v>
      </c>
      <c r="Y14" s="7" t="n">
        <f aca="false">-Hypothèses!$C$32*(1+Hypothèses!$C$34)^(Y$3-1)</f>
        <v>-1082.18576954312</v>
      </c>
      <c r="Z14" s="7" t="n">
        <f aca="false">-Hypothèses!$C$32*(1+Hypothèses!$C$34)^(Z$3-1)</f>
        <v>-1103.82948493398</v>
      </c>
      <c r="AA14" s="7" t="n">
        <f aca="false">-Hypothèses!$C$32*(1+Hypothèses!$C$34)^(AA$3-1)</f>
        <v>-1125.90607463266</v>
      </c>
    </row>
    <row r="15" customFormat="false" ht="15" hidden="false" customHeight="false" outlineLevel="0" collapsed="false">
      <c r="A15" s="6" t="s">
        <v>118</v>
      </c>
      <c r="B15" s="20"/>
      <c r="C15" s="7" t="n">
        <f aca="false">-C8*Hypothèses!$C$33</f>
        <v>-1032.192</v>
      </c>
      <c r="D15" s="7" t="n">
        <f aca="false">-D8*Hypothèses!$C$33</f>
        <v>-1047.67488</v>
      </c>
      <c r="E15" s="7" t="n">
        <f aca="false">-E8*Hypothèses!$C$33</f>
        <v>-1063.3900032</v>
      </c>
      <c r="F15" s="7" t="n">
        <f aca="false">-F8*Hypothèses!$C$33</f>
        <v>-1079.340853248</v>
      </c>
      <c r="G15" s="7" t="n">
        <f aca="false">-G8*Hypothèses!$C$33</f>
        <v>-1095.53096604672</v>
      </c>
      <c r="H15" s="7" t="n">
        <f aca="false">-H8*Hypothèses!$C$33</f>
        <v>-1111.96393053742</v>
      </c>
      <c r="I15" s="7" t="n">
        <f aca="false">-I8*Hypothèses!$C$33</f>
        <v>-1128.64338949548</v>
      </c>
      <c r="J15" s="7" t="n">
        <f aca="false">-J8*Hypothèses!$C$33</f>
        <v>-1145.57304033791</v>
      </c>
      <c r="K15" s="7" t="n">
        <f aca="false">-K8*Hypothèses!$C$33</f>
        <v>-1162.75663594298</v>
      </c>
      <c r="L15" s="7" t="n">
        <f aca="false">-L8*Hypothèses!$C$33</f>
        <v>-1180.19798548213</v>
      </c>
      <c r="M15" s="7" t="n">
        <f aca="false">-M8*Hypothèses!$C$33</f>
        <v>-1197.90095526436</v>
      </c>
      <c r="N15" s="7" t="n">
        <f aca="false">-N8*Hypothèses!$C$33</f>
        <v>-1215.86946959332</v>
      </c>
      <c r="O15" s="7" t="n">
        <f aca="false">-O8*Hypothèses!$C$33</f>
        <v>-1234.10751163722</v>
      </c>
      <c r="P15" s="7" t="n">
        <f aca="false">-P8*Hypothèses!$C$33</f>
        <v>-1252.61912431178</v>
      </c>
      <c r="Q15" s="7" t="n">
        <f aca="false">-Q8*Hypothèses!$C$33</f>
        <v>-1271.40841117646</v>
      </c>
      <c r="R15" s="7" t="n">
        <f aca="false">-R8*Hypothèses!$C$33</f>
        <v>-1290.47953734411</v>
      </c>
      <c r="S15" s="7" t="n">
        <f aca="false">-S8*Hypothèses!$C$33</f>
        <v>-1309.83673040427</v>
      </c>
      <c r="T15" s="7" t="n">
        <f aca="false">-T8*Hypothèses!$C$33</f>
        <v>-1329.48428136033</v>
      </c>
      <c r="U15" s="7" t="n">
        <f aca="false">-U8*Hypothèses!$C$33</f>
        <v>-1349.42654558074</v>
      </c>
      <c r="V15" s="7" t="n">
        <f aca="false">-V8*Hypothèses!$C$33</f>
        <v>-1369.66794376445</v>
      </c>
      <c r="W15" s="7" t="n">
        <f aca="false">-W8*Hypothèses!$C$33</f>
        <v>-1390.21296292091</v>
      </c>
      <c r="X15" s="7" t="n">
        <f aca="false">-X8*Hypothèses!$C$33</f>
        <v>-1411.06615736473</v>
      </c>
      <c r="Y15" s="7" t="n">
        <f aca="false">-Y8*Hypothèses!$C$33</f>
        <v>-1432.2321497252</v>
      </c>
      <c r="Z15" s="7" t="n">
        <f aca="false">-Z8*Hypothèses!$C$33</f>
        <v>-1453.71563197107</v>
      </c>
      <c r="AA15" s="7" t="n">
        <f aca="false">-AA8*Hypothèses!$C$33</f>
        <v>-1475.52136645064</v>
      </c>
    </row>
    <row r="16" customFormat="false" ht="15" hidden="false" customHeight="false" outlineLevel="0" collapsed="false">
      <c r="A16" s="13" t="s">
        <v>119</v>
      </c>
      <c r="B16" s="33"/>
      <c r="C16" s="33" t="n">
        <f aca="false">SUM(C10:C15)</f>
        <v>-4632.192</v>
      </c>
      <c r="D16" s="33" t="n">
        <f aca="false">SUM(D10:D15)</f>
        <v>-4719.67488</v>
      </c>
      <c r="E16" s="33" t="n">
        <f aca="false">SUM(E10:E15)</f>
        <v>-4808.8300032</v>
      </c>
      <c r="F16" s="33" t="n">
        <f aca="false">SUM(F10:F15)</f>
        <v>-4899.689653248</v>
      </c>
      <c r="G16" s="33" t="n">
        <f aca="false">SUM(G10:G15)</f>
        <v>-4992.28674204672</v>
      </c>
      <c r="H16" s="33" t="n">
        <f aca="false">SUM(H10:H15)</f>
        <v>-5086.65482205742</v>
      </c>
      <c r="I16" s="33" t="n">
        <f aca="false">SUM(I10:I15)</f>
        <v>-5182.82809884588</v>
      </c>
      <c r="J16" s="33" t="n">
        <f aca="false">SUM(J10:J15)</f>
        <v>-5280.84144387532</v>
      </c>
      <c r="K16" s="33" t="n">
        <f aca="false">SUM(K10:K15)</f>
        <v>-5380.73040755114</v>
      </c>
      <c r="L16" s="33" t="n">
        <f aca="false">SUM(L10:L15)</f>
        <v>-5482.53123252245</v>
      </c>
      <c r="M16" s="33" t="n">
        <f aca="false">SUM(M10:M15)</f>
        <v>-5586.28086724549</v>
      </c>
      <c r="N16" s="33" t="n">
        <f aca="false">SUM(N10:N15)</f>
        <v>-5692.01697981407</v>
      </c>
      <c r="O16" s="33" t="n">
        <f aca="false">SUM(O10:O15)</f>
        <v>-5799.77797206239</v>
      </c>
      <c r="P16" s="33" t="n">
        <f aca="false">SUM(P10:P15)</f>
        <v>-5909.60299394545</v>
      </c>
      <c r="Q16" s="33" t="n">
        <f aca="false">SUM(Q10:Q15)</f>
        <v>-6021.5319582028</v>
      </c>
      <c r="R16" s="33" t="n">
        <f aca="false">SUM(R10:R15)</f>
        <v>-6135.60555531097</v>
      </c>
      <c r="S16" s="33" t="n">
        <f aca="false">SUM(S10:S15)</f>
        <v>-6251.86526873047</v>
      </c>
      <c r="T16" s="33" t="n">
        <f aca="false">SUM(T10:T15)</f>
        <v>-6370.35339045306</v>
      </c>
      <c r="U16" s="33" t="n">
        <f aca="false">SUM(U10:U15)</f>
        <v>-6491.11303685532</v>
      </c>
      <c r="V16" s="33" t="n">
        <f aca="false">SUM(V10:V15)</f>
        <v>-6614.18816486452</v>
      </c>
      <c r="W16" s="33" t="n">
        <f aca="false">SUM(W10:W15)</f>
        <v>-6739.62358844299</v>
      </c>
      <c r="X16" s="33" t="n">
        <f aca="false">SUM(X10:X15)</f>
        <v>-6867.46499539725</v>
      </c>
      <c r="Y16" s="33" t="n">
        <f aca="false">SUM(Y10:Y15)</f>
        <v>-6997.75896451837</v>
      </c>
      <c r="Z16" s="33" t="n">
        <f aca="false">SUM(Z10:Z15)</f>
        <v>-7130.55298306011</v>
      </c>
      <c r="AA16" s="33" t="n">
        <f aca="false">SUM(AA10:AA15)</f>
        <v>-7265.89546456146</v>
      </c>
    </row>
    <row r="17" customFormat="false" ht="15" hidden="false" customHeight="false" outlineLevel="0" collapsed="false">
      <c r="A17" s="13" t="s">
        <v>120</v>
      </c>
      <c r="B17" s="33"/>
      <c r="C17" s="33" t="n">
        <f aca="false">C8+C16</f>
        <v>10113.408</v>
      </c>
      <c r="D17" s="33" t="n">
        <f aca="false">D8+D16</f>
        <v>10247.10912</v>
      </c>
      <c r="E17" s="33" t="n">
        <f aca="false">E8+E16</f>
        <v>10382.4557568</v>
      </c>
      <c r="F17" s="33" t="n">
        <f aca="false">F8+F16</f>
        <v>10519.465393152</v>
      </c>
      <c r="G17" s="33" t="n">
        <f aca="false">G8+G16</f>
        <v>10658.1556300493</v>
      </c>
      <c r="H17" s="33" t="n">
        <f aca="false">H8+H16</f>
        <v>10798.54418562</v>
      </c>
      <c r="I17" s="33" t="n">
        <f aca="false">I8+I16</f>
        <v>10940.6488939467</v>
      </c>
      <c r="J17" s="33" t="n">
        <f aca="false">J8+J16</f>
        <v>11084.4877038092</v>
      </c>
      <c r="K17" s="33" t="n">
        <f aca="false">K8+K16</f>
        <v>11230.0786773486</v>
      </c>
      <c r="L17" s="33" t="n">
        <f aca="false">L8+L16</f>
        <v>11377.4399886508</v>
      </c>
      <c r="M17" s="33" t="n">
        <f aca="false">M8+M16</f>
        <v>11526.5899222454</v>
      </c>
      <c r="N17" s="33" t="n">
        <f aca="false">N8+N16</f>
        <v>11677.5468715191</v>
      </c>
      <c r="O17" s="33" t="n">
        <f aca="false">O8+O16</f>
        <v>11830.3293370408</v>
      </c>
      <c r="P17" s="33" t="n">
        <f aca="false">P8+P16</f>
        <v>11984.9559247943</v>
      </c>
      <c r="Q17" s="33" t="n">
        <f aca="false">Q8+Q16</f>
        <v>12141.445344318</v>
      </c>
      <c r="R17" s="33" t="n">
        <f aca="false">R8+R16</f>
        <v>12299.8164067477</v>
      </c>
      <c r="S17" s="33" t="n">
        <f aca="false">S8+S16</f>
        <v>12460.0880227591</v>
      </c>
      <c r="T17" s="33" t="n">
        <f aca="false">T8+T16</f>
        <v>12622.2792004088</v>
      </c>
      <c r="U17" s="33" t="n">
        <f aca="false">U8+U16</f>
        <v>12786.4090428695</v>
      </c>
      <c r="V17" s="33" t="n">
        <f aca="false">V8+V16</f>
        <v>12952.4967460561</v>
      </c>
      <c r="W17" s="33" t="n">
        <f aca="false">W8+W16</f>
        <v>13120.5615961415</v>
      </c>
      <c r="X17" s="33" t="n">
        <f aca="false">X8+X16</f>
        <v>13290.622966956</v>
      </c>
      <c r="Y17" s="33" t="n">
        <f aca="false">Y8+Y16</f>
        <v>13462.7003172702</v>
      </c>
      <c r="Z17" s="33" t="n">
        <f aca="false">Z8+Z16</f>
        <v>13636.8131879552</v>
      </c>
      <c r="AA17" s="33" t="n">
        <f aca="false">AA8+AA16</f>
        <v>13812.9811990191</v>
      </c>
    </row>
    <row r="18" customFormat="false" ht="15" hidden="false" customHeight="false" outlineLevel="0" collapsed="false">
      <c r="A18" s="4" t="s">
        <v>121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customFormat="false" ht="15" hidden="false" customHeight="false" outlineLevel="0" collapsed="false">
      <c r="A19" s="6" t="s">
        <v>122</v>
      </c>
      <c r="B19" s="20"/>
      <c r="C19" s="7" t="n">
        <f aca="false">IF(AND(Hypothèses!$C$15&gt;0,C$3&lt;=Hypothèses!$C$17),CUMIPMT(Hypothèses!$C$16/12,Hypothèses!$C$17*12,Hypothèses!$C$15,(C$3-1)*12+1,C$3*12,0),0)</f>
        <v>-11477.398629588</v>
      </c>
      <c r="D19" s="7" t="n">
        <f aca="false">IF(AND(Hypothèses!$C$15&gt;0,D$3&lt;=Hypothèses!$C$17),CUMIPMT(Hypothèses!$C$16/12,Hypothèses!$C$17*12,Hypothèses!$C$15,(D$3-1)*12+1,D$3*12,0),0)</f>
        <v>-11168.5418947511</v>
      </c>
      <c r="E19" s="7" t="n">
        <f aca="false">IF(AND(Hypothèses!$C$15&gt;0,E$3&lt;=Hypothèses!$C$17),CUMIPMT(Hypothèses!$C$16/12,Hypothèses!$C$17*12,Hypothèses!$C$15,(E$3-1)*12+1,E$3*12,0),0)</f>
        <v>-10849.3373076484</v>
      </c>
      <c r="F19" s="7" t="n">
        <f aca="false">IF(AND(Hypothèses!$C$15&gt;0,F$3&lt;=Hypothèses!$C$17),CUMIPMT(Hypothèses!$C$16/12,Hypothèses!$C$17*12,Hypothèses!$C$15,(F$3-1)*12+1,F$3*12,0),0)</f>
        <v>-10519.4381766446</v>
      </c>
      <c r="G19" s="7" t="n">
        <f aca="false">IF(AND(Hypothèses!$C$15&gt;0,G$3&lt;=Hypothèses!$C$17),CUMIPMT(Hypothèses!$C$16/12,Hypothèses!$C$17*12,Hypothèses!$C$15,(G$3-1)*12+1,G$3*12,0),0)</f>
        <v>-10178.4861946417</v>
      </c>
      <c r="H19" s="7" t="n">
        <f aca="false">IF(AND(Hypothèses!$C$15&gt;0,H$3&lt;=Hypothèses!$C$17),CUMIPMT(Hypothèses!$C$16/12,Hypothèses!$C$17*12,Hypothèses!$C$15,(H$3-1)*12+1,H$3*12,0),0)</f>
        <v>-9826.11104991797</v>
      </c>
      <c r="I19" s="7" t="n">
        <f aca="false">IF(AND(Hypothèses!$C$15&gt;0,I$3&lt;=Hypothèses!$C$17),CUMIPMT(Hypothèses!$C$16/12,Hypothèses!$C$17*12,Hypothèses!$C$15,(I$3-1)*12+1,I$3*12,0),0)</f>
        <v>-9461.93002392815</v>
      </c>
      <c r="J19" s="7" t="n">
        <f aca="false">IF(AND(Hypothèses!$C$15&gt;0,J$3&lt;=Hypothèses!$C$17),CUMIPMT(Hypothèses!$C$16/12,Hypothèses!$C$17*12,Hypothèses!$C$15,(J$3-1)*12+1,J$3*12,0),0)</f>
        <v>-9085.54757562868</v>
      </c>
      <c r="K19" s="7" t="n">
        <f aca="false">IF(AND(Hypothèses!$C$15&gt;0,K$3&lt;=Hypothèses!$C$17),CUMIPMT(Hypothèses!$C$16/12,Hypothèses!$C$17*12,Hypothèses!$C$15,(K$3-1)*12+1,K$3*12,0),0)</f>
        <v>-8696.55491187617</v>
      </c>
      <c r="L19" s="7" t="n">
        <f aca="false">IF(AND(Hypothèses!$C$15&gt;0,L$3&lt;=Hypothèses!$C$17),CUMIPMT(Hypothèses!$C$16/12,Hypothèses!$C$17*12,Hypothèses!$C$15,(L$3-1)*12+1,L$3*12,0),0)</f>
        <v>-8294.52954343265</v>
      </c>
      <c r="M19" s="7" t="n">
        <f aca="false">IF(AND(Hypothèses!$C$15&gt;0,M$3&lt;=Hypothèses!$C$17),CUMIPMT(Hypothèses!$C$16/12,Hypothèses!$C$17*12,Hypothèses!$C$15,(M$3-1)*12+1,M$3*12,0),0)</f>
        <v>-7879.0348260953</v>
      </c>
      <c r="N19" s="7" t="n">
        <f aca="false">IF(AND(Hypothèses!$C$15&gt;0,N$3&lt;=Hypothèses!$C$17),CUMIPMT(Hypothèses!$C$16/12,Hypothèses!$C$17*12,Hypothèses!$C$15,(N$3-1)*12+1,N$3*12,0),0)</f>
        <v>-7449.61948645238</v>
      </c>
      <c r="O19" s="7" t="n">
        <f aca="false">IF(AND(Hypothèses!$C$15&gt;0,O$3&lt;=Hypothèses!$C$17),CUMIPMT(Hypothèses!$C$16/12,Hypothèses!$C$17*12,Hypothèses!$C$15,(O$3-1)*12+1,O$3*12,0),0)</f>
        <v>-7005.81713175017</v>
      </c>
      <c r="P19" s="7" t="n">
        <f aca="false">IF(AND(Hypothèses!$C$15&gt;0,P$3&lt;=Hypothèses!$C$17),CUMIPMT(Hypothèses!$C$16/12,Hypothèses!$C$17*12,Hypothèses!$C$15,(P$3-1)*12+1,P$3*12,0),0)</f>
        <v>-6547.14574333864</v>
      </c>
      <c r="Q19" s="7" t="n">
        <f aca="false">IF(AND(Hypothèses!$C$15&gt;0,Q$3&lt;=Hypothèses!$C$17),CUMIPMT(Hypothèses!$C$16/12,Hypothèses!$C$17*12,Hypothèses!$C$15,(Q$3-1)*12+1,Q$3*12,0),0)</f>
        <v>-6073.10715314567</v>
      </c>
      <c r="R19" s="7" t="n">
        <f aca="false">IF(AND(Hypothèses!$C$15&gt;0,R$3&lt;=Hypothèses!$C$17),CUMIPMT(Hypothèses!$C$16/12,Hypothèses!$C$17*12,Hypothèses!$C$15,(R$3-1)*12+1,R$3*12,0),0)</f>
        <v>-5583.18650261116</v>
      </c>
      <c r="S19" s="7" t="n">
        <f aca="false">IF(AND(Hypothèses!$C$15&gt;0,S$3&lt;=Hypothèses!$C$17),CUMIPMT(Hypothèses!$C$16/12,Hypothèses!$C$17*12,Hypothèses!$C$15,(S$3-1)*12+1,S$3*12,0),0)</f>
        <v>-5076.85168349349</v>
      </c>
      <c r="T19" s="7" t="n">
        <f aca="false">IF(AND(Hypothèses!$C$15&gt;0,T$3&lt;=Hypothèses!$C$17),CUMIPMT(Hypothèses!$C$16/12,Hypothèses!$C$17*12,Hypothèses!$C$15,(T$3-1)*12+1,T$3*12,0),0)</f>
        <v>-4553.55275994084</v>
      </c>
      <c r="U19" s="7" t="n">
        <f aca="false">IF(AND(Hypothèses!$C$15&gt;0,U$3&lt;=Hypothèses!$C$17),CUMIPMT(Hypothèses!$C$16/12,Hypothèses!$C$17*12,Hypothèses!$C$15,(U$3-1)*12+1,U$3*12,0),0)</f>
        <v>-4012.72137119976</v>
      </c>
      <c r="V19" s="7" t="n">
        <f aca="false">IF(AND(Hypothèses!$C$15&gt;0,V$3&lt;=Hypothèses!$C$17),CUMIPMT(Hypothèses!$C$16/12,Hypothèses!$C$17*12,Hypothèses!$C$15,(V$3-1)*12+1,V$3*12,0),0)</f>
        <v>-3453.77011431233</v>
      </c>
      <c r="W19" s="7" t="n">
        <f aca="false">IF(AND(Hypothèses!$C$15&gt;0,W$3&lt;=Hypothèses!$C$17),CUMIPMT(Hypothèses!$C$16/12,Hypothèses!$C$17*12,Hypothèses!$C$15,(W$3-1)*12+1,W$3*12,0),0)</f>
        <v>-2876.09190613123</v>
      </c>
      <c r="X19" s="7" t="n">
        <f aca="false">IF(AND(Hypothèses!$C$15&gt;0,X$3&lt;=Hypothèses!$C$17),CUMIPMT(Hypothèses!$C$16/12,Hypothèses!$C$17*12,Hypothèses!$C$15,(X$3-1)*12+1,X$3*12,0),0)</f>
        <v>-2279.05932396006</v>
      </c>
      <c r="Y19" s="7" t="n">
        <f aca="false">IF(AND(Hypothèses!$C$15&gt;0,Y$3&lt;=Hypothèses!$C$17),CUMIPMT(Hypothèses!$C$16/12,Hypothèses!$C$17*12,Hypothèses!$C$15,(Y$3-1)*12+1,Y$3*12,0),0)</f>
        <v>-1662.02392410258</v>
      </c>
      <c r="Z19" s="7" t="n">
        <f aca="false">IF(AND(Hypothèses!$C$15&gt;0,Z$3&lt;=Hypothèses!$C$17),CUMIPMT(Hypothèses!$C$16/12,Hypothèses!$C$17*12,Hypothèses!$C$15,(Z$3-1)*12+1,Z$3*12,0),0)</f>
        <v>-1024.31553758085</v>
      </c>
      <c r="AA19" s="7" t="n">
        <f aca="false">IF(AND(Hypothèses!$C$15&gt;0,AA$3&lt;=Hypothèses!$C$17),CUMIPMT(Hypothèses!$C$16/12,Hypothèses!$C$17*12,Hypothèses!$C$15,(AA$3-1)*12+1,AA$3*12,0),0)</f>
        <v>-365.241542257268</v>
      </c>
    </row>
    <row r="20" customFormat="false" ht="15" hidden="false" customHeight="false" outlineLevel="0" collapsed="false">
      <c r="A20" s="6" t="s">
        <v>123</v>
      </c>
      <c r="B20" s="20"/>
      <c r="C20" s="7" t="n">
        <f aca="false">IF(C$3&lt;=Hypothèses!$C$17,-Hypothèses!$C$15*Hypothèses!$C$18,0)</f>
        <v>-1056</v>
      </c>
      <c r="D20" s="7" t="n">
        <f aca="false">IF(D$3&lt;=Hypothèses!$C$17,-Hypothèses!$C$15*Hypothèses!$C$18,0)</f>
        <v>-1056</v>
      </c>
      <c r="E20" s="7" t="n">
        <f aca="false">IF(E$3&lt;=Hypothèses!$C$17,-Hypothèses!$C$15*Hypothèses!$C$18,0)</f>
        <v>-1056</v>
      </c>
      <c r="F20" s="7" t="n">
        <f aca="false">IF(F$3&lt;=Hypothèses!$C$17,-Hypothèses!$C$15*Hypothèses!$C$18,0)</f>
        <v>-1056</v>
      </c>
      <c r="G20" s="7" t="n">
        <f aca="false">IF(G$3&lt;=Hypothèses!$C$17,-Hypothèses!$C$15*Hypothèses!$C$18,0)</f>
        <v>-1056</v>
      </c>
      <c r="H20" s="7" t="n">
        <f aca="false">IF(H$3&lt;=Hypothèses!$C$17,-Hypothèses!$C$15*Hypothèses!$C$18,0)</f>
        <v>-1056</v>
      </c>
      <c r="I20" s="7" t="n">
        <f aca="false">IF(I$3&lt;=Hypothèses!$C$17,-Hypothèses!$C$15*Hypothèses!$C$18,0)</f>
        <v>-1056</v>
      </c>
      <c r="J20" s="7" t="n">
        <f aca="false">IF(J$3&lt;=Hypothèses!$C$17,-Hypothèses!$C$15*Hypothèses!$C$18,0)</f>
        <v>-1056</v>
      </c>
      <c r="K20" s="7" t="n">
        <f aca="false">IF(K$3&lt;=Hypothèses!$C$17,-Hypothèses!$C$15*Hypothèses!$C$18,0)</f>
        <v>-1056</v>
      </c>
      <c r="L20" s="7" t="n">
        <f aca="false">IF(L$3&lt;=Hypothèses!$C$17,-Hypothèses!$C$15*Hypothèses!$C$18,0)</f>
        <v>-1056</v>
      </c>
      <c r="M20" s="7" t="n">
        <f aca="false">IF(M$3&lt;=Hypothèses!$C$17,-Hypothèses!$C$15*Hypothèses!$C$18,0)</f>
        <v>-1056</v>
      </c>
      <c r="N20" s="7" t="n">
        <f aca="false">IF(N$3&lt;=Hypothèses!$C$17,-Hypothèses!$C$15*Hypothèses!$C$18,0)</f>
        <v>-1056</v>
      </c>
      <c r="O20" s="7" t="n">
        <f aca="false">IF(O$3&lt;=Hypothèses!$C$17,-Hypothèses!$C$15*Hypothèses!$C$18,0)</f>
        <v>-1056</v>
      </c>
      <c r="P20" s="7" t="n">
        <f aca="false">IF(P$3&lt;=Hypothèses!$C$17,-Hypothèses!$C$15*Hypothèses!$C$18,0)</f>
        <v>-1056</v>
      </c>
      <c r="Q20" s="7" t="n">
        <f aca="false">IF(Q$3&lt;=Hypothèses!$C$17,-Hypothèses!$C$15*Hypothèses!$C$18,0)</f>
        <v>-1056</v>
      </c>
      <c r="R20" s="7" t="n">
        <f aca="false">IF(R$3&lt;=Hypothèses!$C$17,-Hypothèses!$C$15*Hypothèses!$C$18,0)</f>
        <v>-1056</v>
      </c>
      <c r="S20" s="7" t="n">
        <f aca="false">IF(S$3&lt;=Hypothèses!$C$17,-Hypothèses!$C$15*Hypothèses!$C$18,0)</f>
        <v>-1056</v>
      </c>
      <c r="T20" s="7" t="n">
        <f aca="false">IF(T$3&lt;=Hypothèses!$C$17,-Hypothèses!$C$15*Hypothèses!$C$18,0)</f>
        <v>-1056</v>
      </c>
      <c r="U20" s="7" t="n">
        <f aca="false">IF(U$3&lt;=Hypothèses!$C$17,-Hypothèses!$C$15*Hypothèses!$C$18,0)</f>
        <v>-1056</v>
      </c>
      <c r="V20" s="7" t="n">
        <f aca="false">IF(V$3&lt;=Hypothèses!$C$17,-Hypothèses!$C$15*Hypothèses!$C$18,0)</f>
        <v>-1056</v>
      </c>
      <c r="W20" s="7" t="n">
        <f aca="false">IF(W$3&lt;=Hypothèses!$C$17,-Hypothèses!$C$15*Hypothèses!$C$18,0)</f>
        <v>-1056</v>
      </c>
      <c r="X20" s="7" t="n">
        <f aca="false">IF(X$3&lt;=Hypothèses!$C$17,-Hypothèses!$C$15*Hypothèses!$C$18,0)</f>
        <v>-1056</v>
      </c>
      <c r="Y20" s="7" t="n">
        <f aca="false">IF(Y$3&lt;=Hypothèses!$C$17,-Hypothèses!$C$15*Hypothèses!$C$18,0)</f>
        <v>-1056</v>
      </c>
      <c r="Z20" s="7" t="n">
        <f aca="false">IF(Z$3&lt;=Hypothèses!$C$17,-Hypothèses!$C$15*Hypothèses!$C$18,0)</f>
        <v>-1056</v>
      </c>
      <c r="AA20" s="7" t="n">
        <f aca="false">IF(AA$3&lt;=Hypothèses!$C$17,-Hypothèses!$C$15*Hypothèses!$C$18,0)</f>
        <v>-1056</v>
      </c>
    </row>
    <row r="21" customFormat="false" ht="15" hidden="false" customHeight="false" outlineLevel="0" collapsed="false">
      <c r="A21" s="6" t="s">
        <v>124</v>
      </c>
      <c r="B21" s="20"/>
      <c r="C21" s="7" t="n">
        <f aca="false">IF(AND(Hypothèses!$C$15&gt;0,C$3&lt;=Hypothèses!$C$17),CUMPRINC(Hypothèses!$C$16/12,Hypothèses!$C$17*12,Hypothèses!$C$15,(C$3-1)*12+1,C$3*12,0),0)</f>
        <v>-9218.57794298925</v>
      </c>
      <c r="D21" s="7" t="n">
        <f aca="false">IF(AND(Hypothèses!$C$15&gt;0,D$3&lt;=Hypothèses!$C$17),CUMPRINC(Hypothèses!$C$16/12,Hypothèses!$C$17*12,Hypothèses!$C$15,(D$3-1)*12+1,D$3*12,0),0)</f>
        <v>-9527.43467782618</v>
      </c>
      <c r="E21" s="7" t="n">
        <f aca="false">IF(AND(Hypothèses!$C$15&gt;0,E$3&lt;=Hypothèses!$C$17),CUMPRINC(Hypothèses!$C$16/12,Hypothèses!$C$17*12,Hypothèses!$C$15,(E$3-1)*12+1,E$3*12,0),0)</f>
        <v>-9846.63926492883</v>
      </c>
      <c r="F21" s="7" t="n">
        <f aca="false">IF(AND(Hypothèses!$C$15&gt;0,F$3&lt;=Hypothèses!$C$17),CUMPRINC(Hypothèses!$C$16/12,Hypothèses!$C$17*12,Hypothèses!$C$15,(F$3-1)*12+1,F$3*12,0),0)</f>
        <v>-10176.5383959326</v>
      </c>
      <c r="G21" s="7" t="n">
        <f aca="false">IF(AND(Hypothèses!$C$15&gt;0,G$3&lt;=Hypothèses!$C$17),CUMPRINC(Hypothèses!$C$16/12,Hypothèses!$C$17*12,Hypothèses!$C$15,(G$3-1)*12+1,G$3*12,0),0)</f>
        <v>-10517.4903779355</v>
      </c>
      <c r="H21" s="7" t="n">
        <f aca="false">IF(AND(Hypothèses!$C$15&gt;0,H$3&lt;=Hypothèses!$C$17),CUMPRINC(Hypothèses!$C$16/12,Hypothèses!$C$17*12,Hypothèses!$C$15,(H$3-1)*12+1,H$3*12,0),0)</f>
        <v>-10869.8655226593</v>
      </c>
      <c r="I21" s="7" t="n">
        <f aca="false">IF(AND(Hypothèses!$C$15&gt;0,I$3&lt;=Hypothèses!$C$17),CUMPRINC(Hypothèses!$C$16/12,Hypothèses!$C$17*12,Hypothèses!$C$15,(I$3-1)*12+1,I$3*12,0),0)</f>
        <v>-11234.0465486491</v>
      </c>
      <c r="J21" s="7" t="n">
        <f aca="false">IF(AND(Hypothèses!$C$15&gt;0,J$3&lt;=Hypothèses!$C$17),CUMPRINC(Hypothèses!$C$16/12,Hypothèses!$C$17*12,Hypothèses!$C$15,(J$3-1)*12+1,J$3*12,0),0)</f>
        <v>-11610.4289969486</v>
      </c>
      <c r="K21" s="7" t="n">
        <f aca="false">IF(AND(Hypothèses!$C$15&gt;0,K$3&lt;=Hypothèses!$C$17),CUMPRINC(Hypothèses!$C$16/12,Hypothèses!$C$17*12,Hypothèses!$C$15,(K$3-1)*12+1,K$3*12,0),0)</f>
        <v>-11999.4216607011</v>
      </c>
      <c r="L21" s="7" t="n">
        <f aca="false">IF(AND(Hypothèses!$C$15&gt;0,L$3&lt;=Hypothèses!$C$17),CUMPRINC(Hypothèses!$C$16/12,Hypothèses!$C$17*12,Hypothèses!$C$15,(L$3-1)*12+1,L$3*12,0),0)</f>
        <v>-12401.4470291446</v>
      </c>
      <c r="M21" s="7" t="n">
        <f aca="false">IF(AND(Hypothèses!$C$15&gt;0,M$3&lt;=Hypothèses!$C$17),CUMPRINC(Hypothèses!$C$16/12,Hypothèses!$C$17*12,Hypothèses!$C$15,(M$3-1)*12+1,M$3*12,0),0)</f>
        <v>-12816.9417464819</v>
      </c>
      <c r="N21" s="7" t="n">
        <f aca="false">IF(AND(Hypothèses!$C$15&gt;0,N$3&lt;=Hypothèses!$C$17),CUMPRINC(Hypothèses!$C$16/12,Hypothèses!$C$17*12,Hypothèses!$C$15,(N$3-1)*12+1,N$3*12,0),0)</f>
        <v>-13246.3570861249</v>
      </c>
      <c r="O21" s="7" t="n">
        <f aca="false">IF(AND(Hypothèses!$C$15&gt;0,O$3&lt;=Hypothèses!$C$17),CUMPRINC(Hypothèses!$C$16/12,Hypothèses!$C$17*12,Hypothèses!$C$15,(O$3-1)*12+1,O$3*12,0),0)</f>
        <v>-13690.1594408271</v>
      </c>
      <c r="P21" s="7" t="n">
        <f aca="false">IF(AND(Hypothèses!$C$15&gt;0,P$3&lt;=Hypothèses!$C$17),CUMPRINC(Hypothèses!$C$16/12,Hypothèses!$C$17*12,Hypothèses!$C$15,(P$3-1)*12+1,P$3*12,0),0)</f>
        <v>-14148.8308292386</v>
      </c>
      <c r="Q21" s="7" t="n">
        <f aca="false">IF(AND(Hypothèses!$C$15&gt;0,Q$3&lt;=Hypothèses!$C$17),CUMPRINC(Hypothèses!$C$16/12,Hypothèses!$C$17*12,Hypothèses!$C$15,(Q$3-1)*12+1,Q$3*12,0),0)</f>
        <v>-14622.8694194316</v>
      </c>
      <c r="R21" s="7" t="n">
        <f aca="false">IF(AND(Hypothèses!$C$15&gt;0,R$3&lt;=Hypothèses!$C$17),CUMPRINC(Hypothèses!$C$16/12,Hypothèses!$C$17*12,Hypothèses!$C$15,(R$3-1)*12+1,R$3*12,0),0)</f>
        <v>-15112.7900699661</v>
      </c>
      <c r="S21" s="7" t="n">
        <f aca="false">IF(AND(Hypothèses!$C$15&gt;0,S$3&lt;=Hypothèses!$C$17),CUMPRINC(Hypothèses!$C$16/12,Hypothèses!$C$17*12,Hypothèses!$C$15,(S$3-1)*12+1,S$3*12,0),0)</f>
        <v>-15619.1248890837</v>
      </c>
      <c r="T21" s="7" t="n">
        <f aca="false">IF(AND(Hypothèses!$C$15&gt;0,T$3&lt;=Hypothèses!$C$17),CUMPRINC(Hypothèses!$C$16/12,Hypothèses!$C$17*12,Hypothèses!$C$15,(T$3-1)*12+1,T$3*12,0),0)</f>
        <v>-16142.4238126364</v>
      </c>
      <c r="U21" s="7" t="n">
        <f aca="false">IF(AND(Hypothèses!$C$15&gt;0,U$3&lt;=Hypothèses!$C$17),CUMPRINC(Hypothèses!$C$16/12,Hypothèses!$C$17*12,Hypothèses!$C$15,(U$3-1)*12+1,U$3*12,0),0)</f>
        <v>-16683.2552013775</v>
      </c>
      <c r="V21" s="7" t="n">
        <f aca="false">IF(AND(Hypothèses!$C$15&gt;0,V$3&lt;=Hypothèses!$C$17),CUMPRINC(Hypothèses!$C$16/12,Hypothèses!$C$17*12,Hypothèses!$C$15,(V$3-1)*12+1,V$3*12,0),0)</f>
        <v>-17242.2064582649</v>
      </c>
      <c r="W21" s="7" t="n">
        <f aca="false">IF(AND(Hypothèses!$C$15&gt;0,W$3&lt;=Hypothèses!$C$17),CUMPRINC(Hypothèses!$C$16/12,Hypothèses!$C$17*12,Hypothèses!$C$15,(W$3-1)*12+1,W$3*12,0),0)</f>
        <v>-17819.884666446</v>
      </c>
      <c r="X21" s="7" t="n">
        <f aca="false">IF(AND(Hypothèses!$C$15&gt;0,X$3&lt;=Hypothèses!$C$17),CUMPRINC(Hypothèses!$C$16/12,Hypothèses!$C$17*12,Hypothèses!$C$15,(X$3-1)*12+1,X$3*12,0),0)</f>
        <v>-18416.9172486172</v>
      </c>
      <c r="Y21" s="7" t="n">
        <f aca="false">IF(AND(Hypothèses!$C$15&gt;0,Y$3&lt;=Hypothèses!$C$17),CUMPRINC(Hypothèses!$C$16/12,Hypothèses!$C$17*12,Hypothèses!$C$15,(Y$3-1)*12+1,Y$3*12,0),0)</f>
        <v>-19033.9526484747</v>
      </c>
      <c r="Z21" s="7" t="n">
        <f aca="false">IF(AND(Hypothèses!$C$15&gt;0,Z$3&lt;=Hypothèses!$C$17),CUMPRINC(Hypothèses!$C$16/12,Hypothèses!$C$17*12,Hypothèses!$C$15,(Z$3-1)*12+1,Z$3*12,0),0)</f>
        <v>-19671.6610349964</v>
      </c>
      <c r="AA21" s="7" t="n">
        <f aca="false">IF(AND(Hypothèses!$C$15&gt;0,AA$3&lt;=Hypothèses!$C$17),CUMPRINC(Hypothèses!$C$16/12,Hypothèses!$C$17*12,Hypothèses!$C$15,(AA$3-1)*12+1,AA$3*12,0),0)</f>
        <v>-20330.73503032</v>
      </c>
    </row>
    <row r="22" customFormat="false" ht="15" hidden="false" customHeight="false" outlineLevel="0" collapsed="false">
      <c r="A22" s="6" t="s">
        <v>125</v>
      </c>
      <c r="B22" s="7" t="n">
        <f aca="false">Hypothèses!$C$15</f>
        <v>352000</v>
      </c>
      <c r="C22" s="7" t="n">
        <f aca="false">IF(C$3&lt;=Hypothèses!$C$17,MAX(0,Hypothèses!$C$15+SUM($C21:C21)),0)</f>
        <v>342781.422057011</v>
      </c>
      <c r="D22" s="7" t="n">
        <f aca="false">IF(D$3&lt;=Hypothèses!$C$17,MAX(0,Hypothèses!$C$15+SUM($C21:D21)),0)</f>
        <v>333253.987379185</v>
      </c>
      <c r="E22" s="7" t="n">
        <f aca="false">IF(E$3&lt;=Hypothèses!$C$17,MAX(0,Hypothèses!$C$15+SUM($C21:E21)),0)</f>
        <v>323407.348114256</v>
      </c>
      <c r="F22" s="7" t="n">
        <f aca="false">IF(F$3&lt;=Hypothèses!$C$17,MAX(0,Hypothèses!$C$15+SUM($C21:F21)),0)</f>
        <v>313230.809718323</v>
      </c>
      <c r="G22" s="7" t="n">
        <f aca="false">IF(G$3&lt;=Hypothèses!$C$17,MAX(0,Hypothèses!$C$15+SUM($C21:G21)),0)</f>
        <v>302713.319340388</v>
      </c>
      <c r="H22" s="7" t="n">
        <f aca="false">IF(H$3&lt;=Hypothèses!$C$17,MAX(0,Hypothèses!$C$15+SUM($C21:H21)),0)</f>
        <v>291843.453817728</v>
      </c>
      <c r="I22" s="7" t="n">
        <f aca="false">IF(I$3&lt;=Hypothèses!$C$17,MAX(0,Hypothèses!$C$15+SUM($C21:I21)),0)</f>
        <v>280609.407269079</v>
      </c>
      <c r="J22" s="7" t="n">
        <f aca="false">IF(J$3&lt;=Hypothèses!$C$17,MAX(0,Hypothèses!$C$15+SUM($C21:J21)),0)</f>
        <v>268998.978272131</v>
      </c>
      <c r="K22" s="7" t="n">
        <f aca="false">IF(K$3&lt;=Hypothèses!$C$17,MAX(0,Hypothèses!$C$15+SUM($C21:K21)),0)</f>
        <v>256999.55661143</v>
      </c>
      <c r="L22" s="7" t="n">
        <f aca="false">IF(L$3&lt;=Hypothèses!$C$17,MAX(0,Hypothèses!$C$15+SUM($C21:L21)),0)</f>
        <v>244598.109582285</v>
      </c>
      <c r="M22" s="7" t="n">
        <f aca="false">IF(M$3&lt;=Hypothèses!$C$17,MAX(0,Hypothèses!$C$15+SUM($C21:M21)),0)</f>
        <v>231781.167835803</v>
      </c>
      <c r="N22" s="7" t="n">
        <f aca="false">IF(N$3&lt;=Hypothèses!$C$17,MAX(0,Hypothèses!$C$15+SUM($C21:N21)),0)</f>
        <v>218534.810749678</v>
      </c>
      <c r="O22" s="7" t="n">
        <f aca="false">IF(O$3&lt;=Hypothèses!$C$17,MAX(0,Hypothèses!$C$15+SUM($C21:O21)),0)</f>
        <v>204844.651308851</v>
      </c>
      <c r="P22" s="7" t="n">
        <f aca="false">IF(P$3&lt;=Hypothèses!$C$17,MAX(0,Hypothèses!$C$15+SUM($C21:P21)),0)</f>
        <v>190695.820479613</v>
      </c>
      <c r="Q22" s="7" t="n">
        <f aca="false">IF(Q$3&lt;=Hypothèses!$C$17,MAX(0,Hypothèses!$C$15+SUM($C21:Q21)),0)</f>
        <v>176072.951060181</v>
      </c>
      <c r="R22" s="7" t="n">
        <f aca="false">IF(R$3&lt;=Hypothèses!$C$17,MAX(0,Hypothèses!$C$15+SUM($C21:R21)),0)</f>
        <v>160960.160990215</v>
      </c>
      <c r="S22" s="7" t="n">
        <f aca="false">IF(S$3&lt;=Hypothèses!$C$17,MAX(0,Hypothèses!$C$15+SUM($C21:S21)),0)</f>
        <v>145341.036101131</v>
      </c>
      <c r="T22" s="7" t="n">
        <f aca="false">IF(T$3&lt;=Hypothèses!$C$17,MAX(0,Hypothèses!$C$15+SUM($C21:T21)),0)</f>
        <v>129198.612288495</v>
      </c>
      <c r="U22" s="7" t="n">
        <f aca="false">IF(U$3&lt;=Hypothèses!$C$17,MAX(0,Hypothèses!$C$15+SUM($C21:U21)),0)</f>
        <v>112515.357087117</v>
      </c>
      <c r="V22" s="7" t="n">
        <f aca="false">IF(V$3&lt;=Hypothèses!$C$17,MAX(0,Hypothèses!$C$15+SUM($C21:V21)),0)</f>
        <v>95273.1506288524</v>
      </c>
      <c r="W22" s="7" t="n">
        <f aca="false">IF(W$3&lt;=Hypothèses!$C$17,MAX(0,Hypothèses!$C$15+SUM($C21:W21)),0)</f>
        <v>77453.2659624064</v>
      </c>
      <c r="X22" s="7" t="n">
        <f aca="false">IF(X$3&lt;=Hypothèses!$C$17,MAX(0,Hypothèses!$C$15+SUM($C21:X21)),0)</f>
        <v>59036.3487137893</v>
      </c>
      <c r="Y22" s="7" t="n">
        <f aca="false">IF(Y$3&lt;=Hypothèses!$C$17,MAX(0,Hypothèses!$C$15+SUM($C21:Y21)),0)</f>
        <v>40002.3960653145</v>
      </c>
      <c r="Z22" s="7" t="n">
        <f aca="false">IF(Z$3&lt;=Hypothèses!$C$17,MAX(0,Hypothèses!$C$15+SUM($C21:Z21)),0)</f>
        <v>20330.7350303181</v>
      </c>
      <c r="AA22" s="7" t="n">
        <f aca="false">IF(AA$3&lt;=Hypothèses!$C$17,MAX(0,Hypothèses!$C$15+SUM($C21:AA21)),0)</f>
        <v>0</v>
      </c>
    </row>
    <row r="23" customFormat="false" ht="15" hidden="false" customHeight="false" outlineLevel="0" collapsed="false">
      <c r="A23" s="4" t="s">
        <v>126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customFormat="false" ht="15" hidden="false" customHeight="false" outlineLevel="0" collapsed="false">
      <c r="A24" s="6" t="s">
        <v>127</v>
      </c>
      <c r="B24" s="20"/>
      <c r="C24" s="7" t="n">
        <f aca="false">IF(C$3&lt;=Hypothèses!$C$39,Hypothèses!$C$8*Hypothèses!$C$38/Hypothèses!$C$39,0)+IF(C$3&lt;=Hypothèses!$C$40,Hypothèses!$C$11/Hypothèses!$C$40,0)</f>
        <v>9500</v>
      </c>
      <c r="D24" s="7" t="n">
        <f aca="false">IF(D$3&lt;=Hypothèses!$C$39,Hypothèses!$C$8*Hypothèses!$C$38/Hypothèses!$C$39,0)+IF(D$3&lt;=Hypothèses!$C$40,Hypothèses!$C$11/Hypothèses!$C$40,0)</f>
        <v>9500</v>
      </c>
      <c r="E24" s="7" t="n">
        <f aca="false">IF(E$3&lt;=Hypothèses!$C$39,Hypothèses!$C$8*Hypothèses!$C$38/Hypothèses!$C$39,0)+IF(E$3&lt;=Hypothèses!$C$40,Hypothèses!$C$11/Hypothèses!$C$40,0)</f>
        <v>9500</v>
      </c>
      <c r="F24" s="7" t="n">
        <f aca="false">IF(F$3&lt;=Hypothèses!$C$39,Hypothèses!$C$8*Hypothèses!$C$38/Hypothèses!$C$39,0)+IF(F$3&lt;=Hypothèses!$C$40,Hypothèses!$C$11/Hypothèses!$C$40,0)</f>
        <v>9500</v>
      </c>
      <c r="G24" s="7" t="n">
        <f aca="false">IF(G$3&lt;=Hypothèses!$C$39,Hypothèses!$C$8*Hypothèses!$C$38/Hypothèses!$C$39,0)+IF(G$3&lt;=Hypothèses!$C$40,Hypothèses!$C$11/Hypothèses!$C$40,0)</f>
        <v>9500</v>
      </c>
      <c r="H24" s="7" t="n">
        <f aca="false">IF(H$3&lt;=Hypothèses!$C$39,Hypothèses!$C$8*Hypothèses!$C$38/Hypothèses!$C$39,0)+IF(H$3&lt;=Hypothèses!$C$40,Hypothèses!$C$11/Hypothèses!$C$40,0)</f>
        <v>9500</v>
      </c>
      <c r="I24" s="7" t="n">
        <f aca="false">IF(I$3&lt;=Hypothèses!$C$39,Hypothèses!$C$8*Hypothèses!$C$38/Hypothèses!$C$39,0)+IF(I$3&lt;=Hypothèses!$C$40,Hypothèses!$C$11/Hypothèses!$C$40,0)</f>
        <v>9500</v>
      </c>
      <c r="J24" s="7" t="n">
        <f aca="false">IF(J$3&lt;=Hypothèses!$C$39,Hypothèses!$C$8*Hypothèses!$C$38/Hypothèses!$C$39,0)+IF(J$3&lt;=Hypothèses!$C$40,Hypothèses!$C$11/Hypothèses!$C$40,0)</f>
        <v>9500</v>
      </c>
      <c r="K24" s="7" t="n">
        <f aca="false">IF(K$3&lt;=Hypothèses!$C$39,Hypothèses!$C$8*Hypothèses!$C$38/Hypothèses!$C$39,0)+IF(K$3&lt;=Hypothèses!$C$40,Hypothèses!$C$11/Hypothèses!$C$40,0)</f>
        <v>9500</v>
      </c>
      <c r="L24" s="7" t="n">
        <f aca="false">IF(L$3&lt;=Hypothèses!$C$39,Hypothèses!$C$8*Hypothèses!$C$38/Hypothèses!$C$39,0)+IF(L$3&lt;=Hypothèses!$C$40,Hypothèses!$C$11/Hypothèses!$C$40,0)</f>
        <v>9500</v>
      </c>
      <c r="M24" s="7" t="n">
        <f aca="false">IF(M$3&lt;=Hypothèses!$C$39,Hypothèses!$C$8*Hypothèses!$C$38/Hypothèses!$C$39,0)+IF(M$3&lt;=Hypothèses!$C$40,Hypothèses!$C$11/Hypothèses!$C$40,0)</f>
        <v>8500</v>
      </c>
      <c r="N24" s="7" t="n">
        <f aca="false">IF(N$3&lt;=Hypothèses!$C$39,Hypothèses!$C$8*Hypothèses!$C$38/Hypothèses!$C$39,0)+IF(N$3&lt;=Hypothèses!$C$40,Hypothèses!$C$11/Hypothèses!$C$40,0)</f>
        <v>8500</v>
      </c>
      <c r="O24" s="7" t="n">
        <f aca="false">IF(O$3&lt;=Hypothèses!$C$39,Hypothèses!$C$8*Hypothèses!$C$38/Hypothèses!$C$39,0)+IF(O$3&lt;=Hypothèses!$C$40,Hypothèses!$C$11/Hypothèses!$C$40,0)</f>
        <v>8500</v>
      </c>
      <c r="P24" s="7" t="n">
        <f aca="false">IF(P$3&lt;=Hypothèses!$C$39,Hypothèses!$C$8*Hypothèses!$C$38/Hypothèses!$C$39,0)+IF(P$3&lt;=Hypothèses!$C$40,Hypothèses!$C$11/Hypothèses!$C$40,0)</f>
        <v>8500</v>
      </c>
      <c r="Q24" s="7" t="n">
        <f aca="false">IF(Q$3&lt;=Hypothèses!$C$39,Hypothèses!$C$8*Hypothèses!$C$38/Hypothèses!$C$39,0)+IF(Q$3&lt;=Hypothèses!$C$40,Hypothèses!$C$11/Hypothèses!$C$40,0)</f>
        <v>8500</v>
      </c>
      <c r="R24" s="7" t="n">
        <f aca="false">IF(R$3&lt;=Hypothèses!$C$39,Hypothèses!$C$8*Hypothèses!$C$38/Hypothèses!$C$39,0)+IF(R$3&lt;=Hypothèses!$C$40,Hypothèses!$C$11/Hypothèses!$C$40,0)</f>
        <v>8500</v>
      </c>
      <c r="S24" s="7" t="n">
        <f aca="false">IF(S$3&lt;=Hypothèses!$C$39,Hypothèses!$C$8*Hypothèses!$C$38/Hypothèses!$C$39,0)+IF(S$3&lt;=Hypothèses!$C$40,Hypothèses!$C$11/Hypothèses!$C$40,0)</f>
        <v>8500</v>
      </c>
      <c r="T24" s="7" t="n">
        <f aca="false">IF(T$3&lt;=Hypothèses!$C$39,Hypothèses!$C$8*Hypothèses!$C$38/Hypothèses!$C$39,0)+IF(T$3&lt;=Hypothèses!$C$40,Hypothèses!$C$11/Hypothèses!$C$40,0)</f>
        <v>8500</v>
      </c>
      <c r="U24" s="7" t="n">
        <f aca="false">IF(U$3&lt;=Hypothèses!$C$39,Hypothèses!$C$8*Hypothèses!$C$38/Hypothèses!$C$39,0)+IF(U$3&lt;=Hypothèses!$C$40,Hypothèses!$C$11/Hypothèses!$C$40,0)</f>
        <v>8500</v>
      </c>
      <c r="V24" s="7" t="n">
        <f aca="false">IF(V$3&lt;=Hypothèses!$C$39,Hypothèses!$C$8*Hypothèses!$C$38/Hypothèses!$C$39,0)+IF(V$3&lt;=Hypothèses!$C$40,Hypothèses!$C$11/Hypothèses!$C$40,0)</f>
        <v>8500</v>
      </c>
      <c r="W24" s="7" t="n">
        <f aca="false">IF(W$3&lt;=Hypothèses!$C$39,Hypothèses!$C$8*Hypothèses!$C$38/Hypothèses!$C$39,0)+IF(W$3&lt;=Hypothèses!$C$40,Hypothèses!$C$11/Hypothèses!$C$40,0)</f>
        <v>8500</v>
      </c>
      <c r="X24" s="7" t="n">
        <f aca="false">IF(X$3&lt;=Hypothèses!$C$39,Hypothèses!$C$8*Hypothèses!$C$38/Hypothèses!$C$39,0)+IF(X$3&lt;=Hypothèses!$C$40,Hypothèses!$C$11/Hypothèses!$C$40,0)</f>
        <v>8500</v>
      </c>
      <c r="Y24" s="7" t="n">
        <f aca="false">IF(Y$3&lt;=Hypothèses!$C$39,Hypothèses!$C$8*Hypothèses!$C$38/Hypothèses!$C$39,0)+IF(Y$3&lt;=Hypothèses!$C$40,Hypothèses!$C$11/Hypothèses!$C$40,0)</f>
        <v>8500</v>
      </c>
      <c r="Z24" s="7" t="n">
        <f aca="false">IF(Z$3&lt;=Hypothèses!$C$39,Hypothèses!$C$8*Hypothèses!$C$38/Hypothèses!$C$39,0)+IF(Z$3&lt;=Hypothèses!$C$40,Hypothèses!$C$11/Hypothèses!$C$40,0)</f>
        <v>8500</v>
      </c>
      <c r="AA24" s="7" t="n">
        <f aca="false">IF(AA$3&lt;=Hypothèses!$C$39,Hypothèses!$C$8*Hypothèses!$C$38/Hypothèses!$C$39,0)+IF(AA$3&lt;=Hypothèses!$C$40,Hypothèses!$C$11/Hypothèses!$C$40,0)</f>
        <v>8500</v>
      </c>
    </row>
    <row r="25" customFormat="false" ht="15" hidden="false" customHeight="false" outlineLevel="0" collapsed="false">
      <c r="A25" s="6" t="s">
        <v>128</v>
      </c>
      <c r="B25" s="20"/>
      <c r="C25" s="20" t="n">
        <f aca="false">C17+C19+C20-C24</f>
        <v>-11919.990629588</v>
      </c>
      <c r="D25" s="20" t="n">
        <f aca="false">D17+D19+D20-D24</f>
        <v>-11477.4327747511</v>
      </c>
      <c r="E25" s="20" t="n">
        <f aca="false">E17+E19+E20-E24</f>
        <v>-11022.8815508484</v>
      </c>
      <c r="F25" s="20" t="n">
        <f aca="false">F17+F19+F20-F24</f>
        <v>-10555.9727834926</v>
      </c>
      <c r="G25" s="20" t="n">
        <f aca="false">G17+G19+G20-G24</f>
        <v>-10076.3305645924</v>
      </c>
      <c r="H25" s="20" t="n">
        <f aca="false">H17+H19+H20-H24</f>
        <v>-9583.56686429796</v>
      </c>
      <c r="I25" s="20" t="n">
        <f aca="false">I17+I19+I20-I24</f>
        <v>-9077.28112998144</v>
      </c>
      <c r="J25" s="20" t="n">
        <f aca="false">J17+J19+J20-J24</f>
        <v>-8557.05987181952</v>
      </c>
      <c r="K25" s="20" t="n">
        <f aca="false">K17+K19+K20-K24</f>
        <v>-8022.47623452756</v>
      </c>
      <c r="L25" s="20" t="n">
        <f aca="false">L17+L19+L20-L24</f>
        <v>-7473.08955478186</v>
      </c>
      <c r="M25" s="20" t="n">
        <f aca="false">M17+M19+M20-M24</f>
        <v>-5908.44490384995</v>
      </c>
      <c r="N25" s="20" t="n">
        <f aca="false">N17+N19+N20-N24</f>
        <v>-5328.07261493325</v>
      </c>
      <c r="O25" s="20" t="n">
        <f aca="false">O17+O19+O20-O24</f>
        <v>-4731.48779470936</v>
      </c>
      <c r="P25" s="20" t="n">
        <f aca="false">P17+P19+P20-P24</f>
        <v>-4118.18981854435</v>
      </c>
      <c r="Q25" s="20" t="n">
        <f aca="false">Q17+Q19+Q20-Q24</f>
        <v>-3487.66180882763</v>
      </c>
      <c r="R25" s="20" t="n">
        <f aca="false">R17+R19+R20-R24</f>
        <v>-2839.37009586349</v>
      </c>
      <c r="S25" s="20" t="n">
        <f aca="false">S17+S19+S20-S24</f>
        <v>-2172.76366073444</v>
      </c>
      <c r="T25" s="20" t="n">
        <f aca="false">T17+T19+T20-T24</f>
        <v>-1487.27355953203</v>
      </c>
      <c r="U25" s="20" t="n">
        <f aca="false">U17+U19+U20-U24</f>
        <v>-782.312328330292</v>
      </c>
      <c r="V25" s="20" t="n">
        <f aca="false">V17+V19+V20-V24</f>
        <v>-57.2733682561939</v>
      </c>
      <c r="W25" s="20" t="n">
        <f aca="false">W17+W19+W20-W24</f>
        <v>688.469690010243</v>
      </c>
      <c r="X25" s="20" t="n">
        <f aca="false">X17+X19+X20-X24</f>
        <v>1455.56364299593</v>
      </c>
      <c r="Y25" s="20" t="n">
        <f aca="false">Y17+Y19+Y20-Y24</f>
        <v>2244.67639316758</v>
      </c>
      <c r="Z25" s="20" t="n">
        <f aca="false">Z17+Z19+Z20-Z24</f>
        <v>3056.4976503744</v>
      </c>
      <c r="AA25" s="20" t="n">
        <f aca="false">AA17+AA19+AA20-AA24</f>
        <v>3891.73965676186</v>
      </c>
    </row>
    <row r="26" customFormat="false" ht="15" hidden="false" customHeight="false" outlineLevel="0" collapsed="false">
      <c r="A26" s="6" t="s">
        <v>129</v>
      </c>
      <c r="B26" s="20"/>
      <c r="C26" s="20" t="n">
        <v>0</v>
      </c>
      <c r="D26" s="20" t="n">
        <f aca="false">C28</f>
        <v>11919.990629588</v>
      </c>
      <c r="E26" s="20" t="n">
        <f aca="false">D28</f>
        <v>23397.4234043391</v>
      </c>
      <c r="F26" s="20" t="n">
        <f aca="false">E28</f>
        <v>34420.3049551875</v>
      </c>
      <c r="G26" s="20" t="n">
        <f aca="false">F28</f>
        <v>44976.2777386801</v>
      </c>
      <c r="H26" s="20" t="n">
        <f aca="false">G28</f>
        <v>55052.6083032725</v>
      </c>
      <c r="I26" s="20" t="n">
        <f aca="false">H28</f>
        <v>64636.1751675705</v>
      </c>
      <c r="J26" s="20" t="n">
        <f aca="false">I28</f>
        <v>73713.4562975519</v>
      </c>
      <c r="K26" s="20" t="n">
        <f aca="false">J28</f>
        <v>82270.5161693714</v>
      </c>
      <c r="L26" s="20" t="n">
        <f aca="false">K28</f>
        <v>90292.992403899</v>
      </c>
      <c r="M26" s="20" t="n">
        <f aca="false">L28</f>
        <v>97766.0819586809</v>
      </c>
      <c r="N26" s="20" t="n">
        <f aca="false">M28</f>
        <v>103674.526862531</v>
      </c>
      <c r="O26" s="20" t="n">
        <f aca="false">N28</f>
        <v>109002.599477464</v>
      </c>
      <c r="P26" s="20" t="n">
        <f aca="false">O28</f>
        <v>113734.087272173</v>
      </c>
      <c r="Q26" s="20" t="n">
        <f aca="false">P28</f>
        <v>117852.277090718</v>
      </c>
      <c r="R26" s="20" t="n">
        <f aca="false">Q28</f>
        <v>121339.938899545</v>
      </c>
      <c r="S26" s="20" t="n">
        <f aca="false">R28</f>
        <v>124179.308995409</v>
      </c>
      <c r="T26" s="20" t="n">
        <f aca="false">S28</f>
        <v>126352.072656143</v>
      </c>
      <c r="U26" s="20" t="n">
        <f aca="false">T28</f>
        <v>127839.346215675</v>
      </c>
      <c r="V26" s="20" t="n">
        <f aca="false">U28</f>
        <v>128621.658544006</v>
      </c>
      <c r="W26" s="20" t="n">
        <f aca="false">V28</f>
        <v>128678.931912262</v>
      </c>
      <c r="X26" s="20" t="n">
        <f aca="false">W28</f>
        <v>127990.462222252</v>
      </c>
      <c r="Y26" s="20" t="n">
        <f aca="false">X28</f>
        <v>126534.898579256</v>
      </c>
      <c r="Z26" s="20" t="n">
        <f aca="false">Y28</f>
        <v>124290.222186088</v>
      </c>
      <c r="AA26" s="20" t="n">
        <f aca="false">Z28</f>
        <v>121233.724535714</v>
      </c>
    </row>
    <row r="27" customFormat="false" ht="15" hidden="false" customHeight="false" outlineLevel="0" collapsed="false">
      <c r="A27" s="6" t="s">
        <v>130</v>
      </c>
      <c r="B27" s="20"/>
      <c r="C27" s="20" t="n">
        <f aca="false">MAX(0,C25-C26)</f>
        <v>0</v>
      </c>
      <c r="D27" s="20" t="n">
        <f aca="false">MAX(0,D25-D26)</f>
        <v>0</v>
      </c>
      <c r="E27" s="20" t="n">
        <f aca="false">MAX(0,E25-E26)</f>
        <v>0</v>
      </c>
      <c r="F27" s="20" t="n">
        <f aca="false">MAX(0,F25-F26)</f>
        <v>0</v>
      </c>
      <c r="G27" s="20" t="n">
        <f aca="false">MAX(0,G25-G26)</f>
        <v>0</v>
      </c>
      <c r="H27" s="20" t="n">
        <f aca="false">MAX(0,H25-H26)</f>
        <v>0</v>
      </c>
      <c r="I27" s="20" t="n">
        <f aca="false">MAX(0,I25-I26)</f>
        <v>0</v>
      </c>
      <c r="J27" s="20" t="n">
        <f aca="false">MAX(0,J25-J26)</f>
        <v>0</v>
      </c>
      <c r="K27" s="20" t="n">
        <f aca="false">MAX(0,K25-K26)</f>
        <v>0</v>
      </c>
      <c r="L27" s="20" t="n">
        <f aca="false">MAX(0,L25-L26)</f>
        <v>0</v>
      </c>
      <c r="M27" s="20" t="n">
        <f aca="false">MAX(0,M25-M26)</f>
        <v>0</v>
      </c>
      <c r="N27" s="20" t="n">
        <f aca="false">MAX(0,N25-N26)</f>
        <v>0</v>
      </c>
      <c r="O27" s="20" t="n">
        <f aca="false">MAX(0,O25-O26)</f>
        <v>0</v>
      </c>
      <c r="P27" s="20" t="n">
        <f aca="false">MAX(0,P25-P26)</f>
        <v>0</v>
      </c>
      <c r="Q27" s="20" t="n">
        <f aca="false">MAX(0,Q25-Q26)</f>
        <v>0</v>
      </c>
      <c r="R27" s="20" t="n">
        <f aca="false">MAX(0,R25-R26)</f>
        <v>0</v>
      </c>
      <c r="S27" s="20" t="n">
        <f aca="false">MAX(0,S25-S26)</f>
        <v>0</v>
      </c>
      <c r="T27" s="20" t="n">
        <f aca="false">MAX(0,T25-T26)</f>
        <v>0</v>
      </c>
      <c r="U27" s="20" t="n">
        <f aca="false">MAX(0,U25-U26)</f>
        <v>0</v>
      </c>
      <c r="V27" s="20" t="n">
        <f aca="false">MAX(0,V25-V26)</f>
        <v>0</v>
      </c>
      <c r="W27" s="20" t="n">
        <f aca="false">MAX(0,W25-W26)</f>
        <v>0</v>
      </c>
      <c r="X27" s="20" t="n">
        <f aca="false">MAX(0,X25-X26)</f>
        <v>0</v>
      </c>
      <c r="Y27" s="20" t="n">
        <f aca="false">MAX(0,Y25-Y26)</f>
        <v>0</v>
      </c>
      <c r="Z27" s="20" t="n">
        <f aca="false">MAX(0,Z25-Z26)</f>
        <v>0</v>
      </c>
      <c r="AA27" s="20" t="n">
        <f aca="false">MAX(0,AA25-AA26)</f>
        <v>0</v>
      </c>
    </row>
    <row r="28" customFormat="false" ht="15" hidden="false" customHeight="false" outlineLevel="0" collapsed="false">
      <c r="A28" s="6" t="s">
        <v>131</v>
      </c>
      <c r="B28" s="20"/>
      <c r="C28" s="20" t="n">
        <f aca="false">MAX(0,C26-C25)</f>
        <v>11919.990629588</v>
      </c>
      <c r="D28" s="20" t="n">
        <f aca="false">MAX(0,D26-D25)</f>
        <v>23397.4234043391</v>
      </c>
      <c r="E28" s="20" t="n">
        <f aca="false">MAX(0,E26-E25)</f>
        <v>34420.3049551875</v>
      </c>
      <c r="F28" s="20" t="n">
        <f aca="false">MAX(0,F26-F25)</f>
        <v>44976.2777386801</v>
      </c>
      <c r="G28" s="20" t="n">
        <f aca="false">MAX(0,G26-G25)</f>
        <v>55052.6083032725</v>
      </c>
      <c r="H28" s="20" t="n">
        <f aca="false">MAX(0,H26-H25)</f>
        <v>64636.1751675705</v>
      </c>
      <c r="I28" s="20" t="n">
        <f aca="false">MAX(0,I26-I25)</f>
        <v>73713.4562975519</v>
      </c>
      <c r="J28" s="20" t="n">
        <f aca="false">MAX(0,J26-J25)</f>
        <v>82270.5161693714</v>
      </c>
      <c r="K28" s="20" t="n">
        <f aca="false">MAX(0,K26-K25)</f>
        <v>90292.992403899</v>
      </c>
      <c r="L28" s="20" t="n">
        <f aca="false">MAX(0,L26-L25)</f>
        <v>97766.0819586809</v>
      </c>
      <c r="M28" s="20" t="n">
        <f aca="false">MAX(0,M26-M25)</f>
        <v>103674.526862531</v>
      </c>
      <c r="N28" s="20" t="n">
        <f aca="false">MAX(0,N26-N25)</f>
        <v>109002.599477464</v>
      </c>
      <c r="O28" s="20" t="n">
        <f aca="false">MAX(0,O26-O25)</f>
        <v>113734.087272173</v>
      </c>
      <c r="P28" s="20" t="n">
        <f aca="false">MAX(0,P26-P25)</f>
        <v>117852.277090718</v>
      </c>
      <c r="Q28" s="20" t="n">
        <f aca="false">MAX(0,Q26-Q25)</f>
        <v>121339.938899545</v>
      </c>
      <c r="R28" s="20" t="n">
        <f aca="false">MAX(0,R26-R25)</f>
        <v>124179.308995409</v>
      </c>
      <c r="S28" s="20" t="n">
        <f aca="false">MAX(0,S26-S25)</f>
        <v>126352.072656143</v>
      </c>
      <c r="T28" s="20" t="n">
        <f aca="false">MAX(0,T26-T25)</f>
        <v>127839.346215675</v>
      </c>
      <c r="U28" s="20" t="n">
        <f aca="false">MAX(0,U26-U25)</f>
        <v>128621.658544006</v>
      </c>
      <c r="V28" s="20" t="n">
        <f aca="false">MAX(0,V26-V25)</f>
        <v>128678.931912262</v>
      </c>
      <c r="W28" s="20" t="n">
        <f aca="false">MAX(0,W26-W25)</f>
        <v>127990.462222252</v>
      </c>
      <c r="X28" s="20" t="n">
        <f aca="false">MAX(0,X26-X25)</f>
        <v>126534.898579256</v>
      </c>
      <c r="Y28" s="20" t="n">
        <f aca="false">MAX(0,Y26-Y25)</f>
        <v>124290.222186088</v>
      </c>
      <c r="Z28" s="20" t="n">
        <f aca="false">MAX(0,Z26-Z25)</f>
        <v>121233.724535714</v>
      </c>
      <c r="AA28" s="20" t="n">
        <f aca="false">MAX(0,AA26-AA25)</f>
        <v>117341.984878952</v>
      </c>
    </row>
    <row r="29" customFormat="false" ht="15" hidden="false" customHeight="false" outlineLevel="0" collapsed="false">
      <c r="A29" s="6" t="s">
        <v>132</v>
      </c>
      <c r="B29" s="20"/>
      <c r="C29" s="7" t="n">
        <f aca="false">-C27*(Hypothèses!$C$36+Hypothèses!$C$37)</f>
        <v>-0</v>
      </c>
      <c r="D29" s="7" t="n">
        <f aca="false">-D27*(Hypothèses!$C$36+Hypothèses!$C$37)</f>
        <v>-0</v>
      </c>
      <c r="E29" s="7" t="n">
        <f aca="false">-E27*(Hypothèses!$C$36+Hypothèses!$C$37)</f>
        <v>-0</v>
      </c>
      <c r="F29" s="7" t="n">
        <f aca="false">-F27*(Hypothèses!$C$36+Hypothèses!$C$37)</f>
        <v>-0</v>
      </c>
      <c r="G29" s="7" t="n">
        <f aca="false">-G27*(Hypothèses!$C$36+Hypothèses!$C$37)</f>
        <v>-0</v>
      </c>
      <c r="H29" s="7" t="n">
        <f aca="false">-H27*(Hypothèses!$C$36+Hypothèses!$C$37)</f>
        <v>-0</v>
      </c>
      <c r="I29" s="7" t="n">
        <f aca="false">-I27*(Hypothèses!$C$36+Hypothèses!$C$37)</f>
        <v>-0</v>
      </c>
      <c r="J29" s="7" t="n">
        <f aca="false">-J27*(Hypothèses!$C$36+Hypothèses!$C$37)</f>
        <v>-0</v>
      </c>
      <c r="K29" s="7" t="n">
        <f aca="false">-K27*(Hypothèses!$C$36+Hypothèses!$C$37)</f>
        <v>-0</v>
      </c>
      <c r="L29" s="7" t="n">
        <f aca="false">-L27*(Hypothèses!$C$36+Hypothèses!$C$37)</f>
        <v>-0</v>
      </c>
      <c r="M29" s="7" t="n">
        <f aca="false">-M27*(Hypothèses!$C$36+Hypothèses!$C$37)</f>
        <v>-0</v>
      </c>
      <c r="N29" s="7" t="n">
        <f aca="false">-N27*(Hypothèses!$C$36+Hypothèses!$C$37)</f>
        <v>-0</v>
      </c>
      <c r="O29" s="7" t="n">
        <f aca="false">-O27*(Hypothèses!$C$36+Hypothèses!$C$37)</f>
        <v>-0</v>
      </c>
      <c r="P29" s="7" t="n">
        <f aca="false">-P27*(Hypothèses!$C$36+Hypothèses!$C$37)</f>
        <v>-0</v>
      </c>
      <c r="Q29" s="7" t="n">
        <f aca="false">-Q27*(Hypothèses!$C$36+Hypothèses!$C$37)</f>
        <v>-0</v>
      </c>
      <c r="R29" s="7" t="n">
        <f aca="false">-R27*(Hypothèses!$C$36+Hypothèses!$C$37)</f>
        <v>-0</v>
      </c>
      <c r="S29" s="7" t="n">
        <f aca="false">-S27*(Hypothèses!$C$36+Hypothèses!$C$37)</f>
        <v>-0</v>
      </c>
      <c r="T29" s="7" t="n">
        <f aca="false">-T27*(Hypothèses!$C$36+Hypothèses!$C$37)</f>
        <v>-0</v>
      </c>
      <c r="U29" s="7" t="n">
        <f aca="false">-U27*(Hypothèses!$C$36+Hypothèses!$C$37)</f>
        <v>-0</v>
      </c>
      <c r="V29" s="7" t="n">
        <f aca="false">-V27*(Hypothèses!$C$36+Hypothèses!$C$37)</f>
        <v>-0</v>
      </c>
      <c r="W29" s="7" t="n">
        <f aca="false">-W27*(Hypothèses!$C$36+Hypothèses!$C$37)</f>
        <v>-0</v>
      </c>
      <c r="X29" s="7" t="n">
        <f aca="false">-X27*(Hypothèses!$C$36+Hypothèses!$C$37)</f>
        <v>-0</v>
      </c>
      <c r="Y29" s="7" t="n">
        <f aca="false">-Y27*(Hypothèses!$C$36+Hypothèses!$C$37)</f>
        <v>-0</v>
      </c>
      <c r="Z29" s="7" t="n">
        <f aca="false">-Z27*(Hypothèses!$C$36+Hypothèses!$C$37)</f>
        <v>-0</v>
      </c>
      <c r="AA29" s="7" t="n">
        <f aca="false">-AA27*(Hypothèses!$C$36+Hypothèses!$C$37)</f>
        <v>-0</v>
      </c>
    </row>
    <row r="30" customFormat="false" ht="15" hidden="false" customHeight="false" outlineLevel="0" collapsed="false">
      <c r="A30" s="4" t="s">
        <v>133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customFormat="false" ht="15" hidden="false" customHeight="false" outlineLevel="0" collapsed="false">
      <c r="A31" s="6" t="s">
        <v>134</v>
      </c>
      <c r="B31" s="20"/>
      <c r="C31" s="20" t="n">
        <f aca="false">C17+C19+C20+C21</f>
        <v>-11638.5685725772</v>
      </c>
      <c r="D31" s="20" t="n">
        <f aca="false">D17+D19+D20+D21</f>
        <v>-11504.8674525772</v>
      </c>
      <c r="E31" s="20" t="n">
        <f aca="false">E17+E19+E20+E21</f>
        <v>-11369.5208157772</v>
      </c>
      <c r="F31" s="20" t="n">
        <f aca="false">F17+F19+F20+F21</f>
        <v>-11232.5111794252</v>
      </c>
      <c r="G31" s="20" t="n">
        <f aca="false">G17+G19+G20+G21</f>
        <v>-11093.820942528</v>
      </c>
      <c r="H31" s="20" t="n">
        <f aca="false">H17+H19+H20+H21</f>
        <v>-10953.4323869572</v>
      </c>
      <c r="I31" s="20" t="n">
        <f aca="false">I17+I19+I20+I21</f>
        <v>-10811.3276786305</v>
      </c>
      <c r="J31" s="20" t="n">
        <f aca="false">J17+J19+J20+J21</f>
        <v>-10667.4888687681</v>
      </c>
      <c r="K31" s="20" t="n">
        <f aca="false">K17+K19+K20+K21</f>
        <v>-10521.8978952286</v>
      </c>
      <c r="L31" s="20" t="n">
        <f aca="false">L17+L19+L20+L21</f>
        <v>-10374.5365839264</v>
      </c>
      <c r="M31" s="20" t="n">
        <f aca="false">M17+M19+M20+M21</f>
        <v>-10225.3866503319</v>
      </c>
      <c r="N31" s="20" t="n">
        <f aca="false">N17+N19+N20+N21</f>
        <v>-10074.4297010581</v>
      </c>
      <c r="O31" s="20" t="n">
        <f aca="false">O17+O19+O20+O21</f>
        <v>-9921.64723553643</v>
      </c>
      <c r="P31" s="20" t="n">
        <f aca="false">P17+P19+P20+P21</f>
        <v>-9767.02064778295</v>
      </c>
      <c r="Q31" s="20" t="n">
        <f aca="false">Q17+Q19+Q20+Q21</f>
        <v>-9610.5312282592</v>
      </c>
      <c r="R31" s="20" t="n">
        <f aca="false">R17+R19+R20+R21</f>
        <v>-9452.16016582956</v>
      </c>
      <c r="S31" s="20" t="n">
        <f aca="false">S17+S19+S20+S21</f>
        <v>-9291.88854981818</v>
      </c>
      <c r="T31" s="20" t="n">
        <f aca="false">T17+T19+T20+T21</f>
        <v>-9129.69737216843</v>
      </c>
      <c r="U31" s="20" t="n">
        <f aca="false">U17+U19+U20+U21</f>
        <v>-8965.56752970777</v>
      </c>
      <c r="V31" s="20" t="n">
        <f aca="false">V17+V19+V20+V21</f>
        <v>-8799.4798265211</v>
      </c>
      <c r="W31" s="20" t="n">
        <f aca="false">W17+W19+W20+W21</f>
        <v>-8631.41497643576</v>
      </c>
      <c r="X31" s="20" t="n">
        <f aca="false">X17+X19+X20+X21</f>
        <v>-8461.35360562125</v>
      </c>
      <c r="Y31" s="20" t="n">
        <f aca="false">Y17+Y19+Y20+Y21</f>
        <v>-8289.27625530707</v>
      </c>
      <c r="Z31" s="20" t="n">
        <f aca="false">Z17+Z19+Z20+Z21</f>
        <v>-8115.16338462199</v>
      </c>
      <c r="AA31" s="20" t="n">
        <f aca="false">AA17+AA19+AA20+AA21</f>
        <v>-7938.99537355811</v>
      </c>
    </row>
    <row r="32" customFormat="false" ht="15" hidden="false" customHeight="false" outlineLevel="0" collapsed="false">
      <c r="A32" s="13" t="s">
        <v>135</v>
      </c>
      <c r="B32" s="33"/>
      <c r="C32" s="33" t="n">
        <f aca="false">C31+C29</f>
        <v>-11638.5685725772</v>
      </c>
      <c r="D32" s="33" t="n">
        <f aca="false">D31+D29</f>
        <v>-11504.8674525772</v>
      </c>
      <c r="E32" s="33" t="n">
        <f aca="false">E31+E29</f>
        <v>-11369.5208157772</v>
      </c>
      <c r="F32" s="33" t="n">
        <f aca="false">F31+F29</f>
        <v>-11232.5111794252</v>
      </c>
      <c r="G32" s="33" t="n">
        <f aca="false">G31+G29</f>
        <v>-11093.820942528</v>
      </c>
      <c r="H32" s="33" t="n">
        <f aca="false">H31+H29</f>
        <v>-10953.4323869572</v>
      </c>
      <c r="I32" s="33" t="n">
        <f aca="false">I31+I29</f>
        <v>-10811.3276786305</v>
      </c>
      <c r="J32" s="33" t="n">
        <f aca="false">J31+J29</f>
        <v>-10667.4888687681</v>
      </c>
      <c r="K32" s="33" t="n">
        <f aca="false">K31+K29</f>
        <v>-10521.8978952286</v>
      </c>
      <c r="L32" s="33" t="n">
        <f aca="false">L31+L29</f>
        <v>-10374.5365839264</v>
      </c>
      <c r="M32" s="33" t="n">
        <f aca="false">M31+M29</f>
        <v>-10225.3866503319</v>
      </c>
      <c r="N32" s="33" t="n">
        <f aca="false">N31+N29</f>
        <v>-10074.4297010581</v>
      </c>
      <c r="O32" s="33" t="n">
        <f aca="false">O31+O29</f>
        <v>-9921.64723553643</v>
      </c>
      <c r="P32" s="33" t="n">
        <f aca="false">P31+P29</f>
        <v>-9767.02064778295</v>
      </c>
      <c r="Q32" s="33" t="n">
        <f aca="false">Q31+Q29</f>
        <v>-9610.5312282592</v>
      </c>
      <c r="R32" s="33" t="n">
        <f aca="false">R31+R29</f>
        <v>-9452.16016582956</v>
      </c>
      <c r="S32" s="33" t="n">
        <f aca="false">S31+S29</f>
        <v>-9291.88854981818</v>
      </c>
      <c r="T32" s="33" t="n">
        <f aca="false">T31+T29</f>
        <v>-9129.69737216843</v>
      </c>
      <c r="U32" s="33" t="n">
        <f aca="false">U31+U29</f>
        <v>-8965.56752970777</v>
      </c>
      <c r="V32" s="33" t="n">
        <f aca="false">V31+V29</f>
        <v>-8799.4798265211</v>
      </c>
      <c r="W32" s="33" t="n">
        <f aca="false">W31+W29</f>
        <v>-8631.41497643576</v>
      </c>
      <c r="X32" s="33" t="n">
        <f aca="false">X31+X29</f>
        <v>-8461.35360562125</v>
      </c>
      <c r="Y32" s="33" t="n">
        <f aca="false">Y31+Y29</f>
        <v>-8289.27625530707</v>
      </c>
      <c r="Z32" s="33" t="n">
        <f aca="false">Z31+Z29</f>
        <v>-8115.16338462199</v>
      </c>
      <c r="AA32" s="33" t="n">
        <f aca="false">AA31+AA29</f>
        <v>-7938.99537355811</v>
      </c>
    </row>
    <row r="33" customFormat="false" ht="15" hidden="false" customHeight="false" outlineLevel="0" collapsed="false">
      <c r="A33" s="4" t="s">
        <v>136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customFormat="false" ht="15" hidden="false" customHeight="false" outlineLevel="0" collapsed="false">
      <c r="A34" s="6" t="s">
        <v>137</v>
      </c>
      <c r="B34" s="20"/>
      <c r="C34" s="7" t="n">
        <f aca="false">IF(C$3=Hypothèses!$C$43,Hypothèses!$C$8*(1+Hypothèses!$C$44)^C$3,0)</f>
        <v>0</v>
      </c>
      <c r="D34" s="7" t="n">
        <f aca="false">IF(D$3=Hypothèses!$C$43,Hypothèses!$C$8*(1+Hypothèses!$C$44)^D$3,0)</f>
        <v>0</v>
      </c>
      <c r="E34" s="7" t="n">
        <f aca="false">IF(E$3=Hypothèses!$C$43,Hypothèses!$C$8*(1+Hypothèses!$C$44)^E$3,0)</f>
        <v>0</v>
      </c>
      <c r="F34" s="7" t="n">
        <f aca="false">IF(F$3=Hypothèses!$C$43,Hypothèses!$C$8*(1+Hypothèses!$C$44)^F$3,0)</f>
        <v>0</v>
      </c>
      <c r="G34" s="7" t="n">
        <f aca="false">IF(G$3=Hypothèses!$C$43,Hypothèses!$C$8*(1+Hypothèses!$C$44)^G$3,0)</f>
        <v>0</v>
      </c>
      <c r="H34" s="7" t="n">
        <f aca="false">IF(H$3=Hypothèses!$C$43,Hypothèses!$C$8*(1+Hypothèses!$C$44)^H$3,0)</f>
        <v>0</v>
      </c>
      <c r="I34" s="7" t="n">
        <f aca="false">IF(I$3=Hypothèses!$C$43,Hypothèses!$C$8*(1+Hypothèses!$C$44)^I$3,0)</f>
        <v>0</v>
      </c>
      <c r="J34" s="7" t="n">
        <f aca="false">IF(J$3=Hypothèses!$C$43,Hypothèses!$C$8*(1+Hypothèses!$C$44)^J$3,0)</f>
        <v>0</v>
      </c>
      <c r="K34" s="7" t="n">
        <f aca="false">IF(K$3=Hypothèses!$C$43,Hypothèses!$C$8*(1+Hypothèses!$C$44)^K$3,0)</f>
        <v>0</v>
      </c>
      <c r="L34" s="7" t="n">
        <f aca="false">IF(L$3=Hypothèses!$C$43,Hypothèses!$C$8*(1+Hypothèses!$C$44)^L$3,0)</f>
        <v>0</v>
      </c>
      <c r="M34" s="7" t="n">
        <f aca="false">IF(M$3=Hypothèses!$C$43,Hypothèses!$C$8*(1+Hypothèses!$C$44)^M$3,0)</f>
        <v>0</v>
      </c>
      <c r="N34" s="7" t="n">
        <f aca="false">IF(N$3=Hypothèses!$C$43,Hypothèses!$C$8*(1+Hypothèses!$C$44)^N$3,0)</f>
        <v>0</v>
      </c>
      <c r="O34" s="7" t="n">
        <f aca="false">IF(O$3=Hypothèses!$C$43,Hypothèses!$C$8*(1+Hypothèses!$C$44)^O$3,0)</f>
        <v>0</v>
      </c>
      <c r="P34" s="7" t="n">
        <f aca="false">IF(P$3=Hypothèses!$C$43,Hypothèses!$C$8*(1+Hypothèses!$C$44)^P$3,0)</f>
        <v>0</v>
      </c>
      <c r="Q34" s="7" t="n">
        <f aca="false">IF(Q$3=Hypothèses!$C$43,Hypothèses!$C$8*(1+Hypothèses!$C$44)^Q$3,0)</f>
        <v>0</v>
      </c>
      <c r="R34" s="7" t="n">
        <f aca="false">IF(R$3=Hypothèses!$C$43,Hypothèses!$C$8*(1+Hypothèses!$C$44)^R$3,0)</f>
        <v>0</v>
      </c>
      <c r="S34" s="7" t="n">
        <f aca="false">IF(S$3=Hypothèses!$C$43,Hypothèses!$C$8*(1+Hypothèses!$C$44)^S$3,0)</f>
        <v>0</v>
      </c>
      <c r="T34" s="7" t="n">
        <f aca="false">IF(T$3=Hypothèses!$C$43,Hypothèses!$C$8*(1+Hypothèses!$C$44)^T$3,0)</f>
        <v>0</v>
      </c>
      <c r="U34" s="7" t="n">
        <f aca="false">IF(U$3=Hypothèses!$C$43,Hypothèses!$C$8*(1+Hypothèses!$C$44)^U$3,0)</f>
        <v>0</v>
      </c>
      <c r="V34" s="7" t="n">
        <f aca="false">IF(V$3=Hypothèses!$C$43,Hypothèses!$C$8*(1+Hypothèses!$C$44)^V$3,0)</f>
        <v>538742.002620022</v>
      </c>
      <c r="W34" s="7" t="n">
        <f aca="false">IF(W$3=Hypothèses!$C$43,Hypothèses!$C$8*(1+Hypothèses!$C$44)^W$3,0)</f>
        <v>0</v>
      </c>
      <c r="X34" s="7" t="n">
        <f aca="false">IF(X$3=Hypothèses!$C$43,Hypothèses!$C$8*(1+Hypothèses!$C$44)^X$3,0)</f>
        <v>0</v>
      </c>
      <c r="Y34" s="7" t="n">
        <f aca="false">IF(Y$3=Hypothèses!$C$43,Hypothèses!$C$8*(1+Hypothèses!$C$44)^Y$3,0)</f>
        <v>0</v>
      </c>
      <c r="Z34" s="7" t="n">
        <f aca="false">IF(Z$3=Hypothèses!$C$43,Hypothèses!$C$8*(1+Hypothèses!$C$44)^Z$3,0)</f>
        <v>0</v>
      </c>
      <c r="AA34" s="7" t="n">
        <f aca="false">IF(AA$3=Hypothèses!$C$43,Hypothèses!$C$8*(1+Hypothèses!$C$44)^AA$3,0)</f>
        <v>0</v>
      </c>
    </row>
    <row r="35" customFormat="false" ht="15" hidden="false" customHeight="false" outlineLevel="0" collapsed="false">
      <c r="A35" s="6" t="s">
        <v>138</v>
      </c>
      <c r="B35" s="20"/>
      <c r="C35" s="7" t="n">
        <f aca="false">-C34*Hypothèses!$C$45</f>
        <v>-0</v>
      </c>
      <c r="D35" s="7" t="n">
        <f aca="false">-D34*Hypothèses!$C$45</f>
        <v>-0</v>
      </c>
      <c r="E35" s="7" t="n">
        <f aca="false">-E34*Hypothèses!$C$45</f>
        <v>-0</v>
      </c>
      <c r="F35" s="7" t="n">
        <f aca="false">-F34*Hypothèses!$C$45</f>
        <v>-0</v>
      </c>
      <c r="G35" s="7" t="n">
        <f aca="false">-G34*Hypothèses!$C$45</f>
        <v>-0</v>
      </c>
      <c r="H35" s="7" t="n">
        <f aca="false">-H34*Hypothèses!$C$45</f>
        <v>-0</v>
      </c>
      <c r="I35" s="7" t="n">
        <f aca="false">-I34*Hypothèses!$C$45</f>
        <v>-0</v>
      </c>
      <c r="J35" s="7" t="n">
        <f aca="false">-J34*Hypothèses!$C$45</f>
        <v>-0</v>
      </c>
      <c r="K35" s="7" t="n">
        <f aca="false">-K34*Hypothèses!$C$45</f>
        <v>-0</v>
      </c>
      <c r="L35" s="7" t="n">
        <f aca="false">-L34*Hypothèses!$C$45</f>
        <v>-0</v>
      </c>
      <c r="M35" s="7" t="n">
        <f aca="false">-M34*Hypothèses!$C$45</f>
        <v>-0</v>
      </c>
      <c r="N35" s="7" t="n">
        <f aca="false">-N34*Hypothèses!$C$45</f>
        <v>-0</v>
      </c>
      <c r="O35" s="7" t="n">
        <f aca="false">-O34*Hypothèses!$C$45</f>
        <v>-0</v>
      </c>
      <c r="P35" s="7" t="n">
        <f aca="false">-P34*Hypothèses!$C$45</f>
        <v>-0</v>
      </c>
      <c r="Q35" s="7" t="n">
        <f aca="false">-Q34*Hypothèses!$C$45</f>
        <v>-0</v>
      </c>
      <c r="R35" s="7" t="n">
        <f aca="false">-R34*Hypothèses!$C$45</f>
        <v>-0</v>
      </c>
      <c r="S35" s="7" t="n">
        <f aca="false">-S34*Hypothèses!$C$45</f>
        <v>-0</v>
      </c>
      <c r="T35" s="7" t="n">
        <f aca="false">-T34*Hypothèses!$C$45</f>
        <v>-0</v>
      </c>
      <c r="U35" s="7" t="n">
        <f aca="false">-U34*Hypothèses!$C$45</f>
        <v>-0</v>
      </c>
      <c r="V35" s="7" t="n">
        <f aca="false">-V34*Hypothèses!$C$45</f>
        <v>-21549.6801048009</v>
      </c>
      <c r="W35" s="7" t="n">
        <f aca="false">-W34*Hypothèses!$C$45</f>
        <v>-0</v>
      </c>
      <c r="X35" s="7" t="n">
        <f aca="false">-X34*Hypothèses!$C$45</f>
        <v>-0</v>
      </c>
      <c r="Y35" s="7" t="n">
        <f aca="false">-Y34*Hypothèses!$C$45</f>
        <v>-0</v>
      </c>
      <c r="Z35" s="7" t="n">
        <f aca="false">-Z34*Hypothèses!$C$45</f>
        <v>-0</v>
      </c>
      <c r="AA35" s="7" t="n">
        <f aca="false">-AA34*Hypothèses!$C$45</f>
        <v>-0</v>
      </c>
    </row>
    <row r="36" customFormat="false" ht="15" hidden="false" customHeight="false" outlineLevel="0" collapsed="false">
      <c r="A36" s="6" t="s">
        <v>139</v>
      </c>
      <c r="B36" s="20"/>
      <c r="C36" s="7" t="n">
        <f aca="false">IF(C$3=Hypothèses!$C$43,-C22,0)</f>
        <v>0</v>
      </c>
      <c r="D36" s="7" t="n">
        <f aca="false">IF(D$3=Hypothèses!$C$43,-D22,0)</f>
        <v>0</v>
      </c>
      <c r="E36" s="7" t="n">
        <f aca="false">IF(E$3=Hypothèses!$C$43,-E22,0)</f>
        <v>0</v>
      </c>
      <c r="F36" s="7" t="n">
        <f aca="false">IF(F$3=Hypothèses!$C$43,-F22,0)</f>
        <v>0</v>
      </c>
      <c r="G36" s="7" t="n">
        <f aca="false">IF(G$3=Hypothèses!$C$43,-G22,0)</f>
        <v>0</v>
      </c>
      <c r="H36" s="7" t="n">
        <f aca="false">IF(H$3=Hypothèses!$C$43,-H22,0)</f>
        <v>0</v>
      </c>
      <c r="I36" s="7" t="n">
        <f aca="false">IF(I$3=Hypothèses!$C$43,-I22,0)</f>
        <v>0</v>
      </c>
      <c r="J36" s="7" t="n">
        <f aca="false">IF(J$3=Hypothèses!$C$43,-J22,0)</f>
        <v>0</v>
      </c>
      <c r="K36" s="7" t="n">
        <f aca="false">IF(K$3=Hypothèses!$C$43,-K22,0)</f>
        <v>0</v>
      </c>
      <c r="L36" s="7" t="n">
        <f aca="false">IF(L$3=Hypothèses!$C$43,-L22,0)</f>
        <v>0</v>
      </c>
      <c r="M36" s="7" t="n">
        <f aca="false">IF(M$3=Hypothèses!$C$43,-M22,0)</f>
        <v>0</v>
      </c>
      <c r="N36" s="7" t="n">
        <f aca="false">IF(N$3=Hypothèses!$C$43,-N22,0)</f>
        <v>0</v>
      </c>
      <c r="O36" s="7" t="n">
        <f aca="false">IF(O$3=Hypothèses!$C$43,-O22,0)</f>
        <v>0</v>
      </c>
      <c r="P36" s="7" t="n">
        <f aca="false">IF(P$3=Hypothèses!$C$43,-P22,0)</f>
        <v>0</v>
      </c>
      <c r="Q36" s="7" t="n">
        <f aca="false">IF(Q$3=Hypothèses!$C$43,-Q22,0)</f>
        <v>0</v>
      </c>
      <c r="R36" s="7" t="n">
        <f aca="false">IF(R$3=Hypothèses!$C$43,-R22,0)</f>
        <v>0</v>
      </c>
      <c r="S36" s="7" t="n">
        <f aca="false">IF(S$3=Hypothèses!$C$43,-S22,0)</f>
        <v>0</v>
      </c>
      <c r="T36" s="7" t="n">
        <f aca="false">IF(T$3=Hypothèses!$C$43,-T22,0)</f>
        <v>0</v>
      </c>
      <c r="U36" s="7" t="n">
        <f aca="false">IF(U$3=Hypothèses!$C$43,-U22,0)</f>
        <v>0</v>
      </c>
      <c r="V36" s="7" t="n">
        <f aca="false">IF(V$3=Hypothèses!$C$43,-V22,0)</f>
        <v>-95273.1506288524</v>
      </c>
      <c r="W36" s="7" t="n">
        <f aca="false">IF(W$3=Hypothèses!$C$43,-W22,0)</f>
        <v>0</v>
      </c>
      <c r="X36" s="7" t="n">
        <f aca="false">IF(X$3=Hypothèses!$C$43,-X22,0)</f>
        <v>0</v>
      </c>
      <c r="Y36" s="7" t="n">
        <f aca="false">IF(Y$3=Hypothèses!$C$43,-Y22,0)</f>
        <v>0</v>
      </c>
      <c r="Z36" s="7" t="n">
        <f aca="false">IF(Z$3=Hypothèses!$C$43,-Z22,0)</f>
        <v>0</v>
      </c>
      <c r="AA36" s="7" t="n">
        <f aca="false">IF(AA$3=Hypothèses!$C$43,-AA22,0)</f>
        <v>0</v>
      </c>
    </row>
    <row r="37" customFormat="false" ht="15" hidden="false" customHeight="false" outlineLevel="0" collapsed="false">
      <c r="A37" s="6" t="s">
        <v>140</v>
      </c>
      <c r="B37" s="20"/>
      <c r="C37" s="20" t="n">
        <f aca="false">C24</f>
        <v>9500</v>
      </c>
      <c r="D37" s="20" t="n">
        <f aca="false">C37+D24</f>
        <v>19000</v>
      </c>
      <c r="E37" s="20" t="n">
        <f aca="false">D37+E24</f>
        <v>28500</v>
      </c>
      <c r="F37" s="20" t="n">
        <f aca="false">E37+F24</f>
        <v>38000</v>
      </c>
      <c r="G37" s="20" t="n">
        <f aca="false">F37+G24</f>
        <v>47500</v>
      </c>
      <c r="H37" s="20" t="n">
        <f aca="false">G37+H24</f>
        <v>57000</v>
      </c>
      <c r="I37" s="20" t="n">
        <f aca="false">H37+I24</f>
        <v>66500</v>
      </c>
      <c r="J37" s="20" t="n">
        <f aca="false">I37+J24</f>
        <v>76000</v>
      </c>
      <c r="K37" s="20" t="n">
        <f aca="false">J37+K24</f>
        <v>85500</v>
      </c>
      <c r="L37" s="20" t="n">
        <f aca="false">K37+L24</f>
        <v>95000</v>
      </c>
      <c r="M37" s="20" t="n">
        <f aca="false">L37+M24</f>
        <v>103500</v>
      </c>
      <c r="N37" s="20" t="n">
        <f aca="false">M37+N24</f>
        <v>112000</v>
      </c>
      <c r="O37" s="20" t="n">
        <f aca="false">N37+O24</f>
        <v>120500</v>
      </c>
      <c r="P37" s="20" t="n">
        <f aca="false">O37+P24</f>
        <v>129000</v>
      </c>
      <c r="Q37" s="20" t="n">
        <f aca="false">P37+Q24</f>
        <v>137500</v>
      </c>
      <c r="R37" s="20" t="n">
        <f aca="false">Q37+R24</f>
        <v>146000</v>
      </c>
      <c r="S37" s="20" t="n">
        <f aca="false">R37+S24</f>
        <v>154500</v>
      </c>
      <c r="T37" s="20" t="n">
        <f aca="false">S37+T24</f>
        <v>163000</v>
      </c>
      <c r="U37" s="20" t="n">
        <f aca="false">T37+U24</f>
        <v>171500</v>
      </c>
      <c r="V37" s="20" t="n">
        <f aca="false">U37+V24</f>
        <v>180000</v>
      </c>
      <c r="W37" s="20" t="n">
        <f aca="false">V37+W24</f>
        <v>188500</v>
      </c>
      <c r="X37" s="20" t="n">
        <f aca="false">W37+X24</f>
        <v>197000</v>
      </c>
      <c r="Y37" s="20" t="n">
        <f aca="false">X37+Y24</f>
        <v>205500</v>
      </c>
      <c r="Z37" s="20" t="n">
        <f aca="false">Y37+Z24</f>
        <v>214000</v>
      </c>
      <c r="AA37" s="20" t="n">
        <f aca="false">Z37+AA24</f>
        <v>222500</v>
      </c>
    </row>
    <row r="38" customFormat="false" ht="15" hidden="false" customHeight="false" outlineLevel="0" collapsed="false">
      <c r="A38" s="6" t="s">
        <v>141</v>
      </c>
      <c r="B38" s="20"/>
      <c r="C38" s="7" t="n">
        <f aca="false">IF(C$3=Hypothèses!$C$43,MAX(0,C34+C35-Hypothèses!$C$8-Hypothèses!$C$10+Hypothèses!$C$49*C37),0)</f>
        <v>0</v>
      </c>
      <c r="D38" s="7" t="n">
        <f aca="false">IF(D$3=Hypothèses!$C$43,MAX(0,D34+D35-Hypothèses!$C$8-Hypothèses!$C$10+Hypothèses!$C$49*D37),0)</f>
        <v>0</v>
      </c>
      <c r="E38" s="7" t="n">
        <f aca="false">IF(E$3=Hypothèses!$C$43,MAX(0,E34+E35-Hypothèses!$C$8-Hypothèses!$C$10+Hypothèses!$C$49*E37),0)</f>
        <v>0</v>
      </c>
      <c r="F38" s="7" t="n">
        <f aca="false">IF(F$3=Hypothèses!$C$43,MAX(0,F34+F35-Hypothèses!$C$8-Hypothèses!$C$10+Hypothèses!$C$49*F37),0)</f>
        <v>0</v>
      </c>
      <c r="G38" s="7" t="n">
        <f aca="false">IF(G$3=Hypothèses!$C$43,MAX(0,G34+G35-Hypothèses!$C$8-Hypothèses!$C$10+Hypothèses!$C$49*G37),0)</f>
        <v>0</v>
      </c>
      <c r="H38" s="7" t="n">
        <f aca="false">IF(H$3=Hypothèses!$C$43,MAX(0,H34+H35-Hypothèses!$C$8-Hypothèses!$C$10+Hypothèses!$C$49*H37),0)</f>
        <v>0</v>
      </c>
      <c r="I38" s="7" t="n">
        <f aca="false">IF(I$3=Hypothèses!$C$43,MAX(0,I34+I35-Hypothèses!$C$8-Hypothèses!$C$10+Hypothèses!$C$49*I37),0)</f>
        <v>0</v>
      </c>
      <c r="J38" s="7" t="n">
        <f aca="false">IF(J$3=Hypothèses!$C$43,MAX(0,J34+J35-Hypothèses!$C$8-Hypothèses!$C$10+Hypothèses!$C$49*J37),0)</f>
        <v>0</v>
      </c>
      <c r="K38" s="7" t="n">
        <f aca="false">IF(K$3=Hypothèses!$C$43,MAX(0,K34+K35-Hypothèses!$C$8-Hypothèses!$C$10+Hypothèses!$C$49*K37),0)</f>
        <v>0</v>
      </c>
      <c r="L38" s="7" t="n">
        <f aca="false">IF(L$3=Hypothèses!$C$43,MAX(0,L34+L35-Hypothèses!$C$8-Hypothèses!$C$10+Hypothèses!$C$49*L37),0)</f>
        <v>0</v>
      </c>
      <c r="M38" s="7" t="n">
        <f aca="false">IF(M$3=Hypothèses!$C$43,MAX(0,M34+M35-Hypothèses!$C$8-Hypothèses!$C$10+Hypothèses!$C$49*M37),0)</f>
        <v>0</v>
      </c>
      <c r="N38" s="7" t="n">
        <f aca="false">IF(N$3=Hypothèses!$C$43,MAX(0,N34+N35-Hypothèses!$C$8-Hypothèses!$C$10+Hypothèses!$C$49*N37),0)</f>
        <v>0</v>
      </c>
      <c r="O38" s="7" t="n">
        <f aca="false">IF(O$3=Hypothèses!$C$43,MAX(0,O34+O35-Hypothèses!$C$8-Hypothèses!$C$10+Hypothèses!$C$49*O37),0)</f>
        <v>0</v>
      </c>
      <c r="P38" s="7" t="n">
        <f aca="false">IF(P$3=Hypothèses!$C$43,MAX(0,P34+P35-Hypothèses!$C$8-Hypothèses!$C$10+Hypothèses!$C$49*P37),0)</f>
        <v>0</v>
      </c>
      <c r="Q38" s="7" t="n">
        <f aca="false">IF(Q$3=Hypothèses!$C$43,MAX(0,Q34+Q35-Hypothèses!$C$8-Hypothèses!$C$10+Hypothèses!$C$49*Q37),0)</f>
        <v>0</v>
      </c>
      <c r="R38" s="7" t="n">
        <f aca="false">IF(R$3=Hypothèses!$C$43,MAX(0,R34+R35-Hypothèses!$C$8-Hypothèses!$C$10+Hypothèses!$C$49*R37),0)</f>
        <v>0</v>
      </c>
      <c r="S38" s="7" t="n">
        <f aca="false">IF(S$3=Hypothèses!$C$43,MAX(0,S34+S35-Hypothèses!$C$8-Hypothèses!$C$10+Hypothèses!$C$49*S37),0)</f>
        <v>0</v>
      </c>
      <c r="T38" s="7" t="n">
        <f aca="false">IF(T$3=Hypothèses!$C$43,MAX(0,T34+T35-Hypothèses!$C$8-Hypothèses!$C$10+Hypothèses!$C$49*T37),0)</f>
        <v>0</v>
      </c>
      <c r="U38" s="7" t="n">
        <f aca="false">IF(U$3=Hypothèses!$C$43,MAX(0,U34+U35-Hypothèses!$C$8-Hypothèses!$C$10+Hypothèses!$C$49*U37),0)</f>
        <v>0</v>
      </c>
      <c r="V38" s="7" t="n">
        <f aca="false">IF(V$3=Hypothèses!$C$43,MAX(0,V34+V35-Hypothèses!$C$8-Hypothèses!$C$10+Hypothèses!$C$49*V37),0)</f>
        <v>267192.322515221</v>
      </c>
      <c r="W38" s="7" t="n">
        <f aca="false">IF(W$3=Hypothèses!$C$43,MAX(0,W34+W35-Hypothèses!$C$8-Hypothèses!$C$10+Hypothèses!$C$49*W37),0)</f>
        <v>0</v>
      </c>
      <c r="X38" s="7" t="n">
        <f aca="false">IF(X$3=Hypothèses!$C$43,MAX(0,X34+X35-Hypothèses!$C$8-Hypothèses!$C$10+Hypothèses!$C$49*X37),0)</f>
        <v>0</v>
      </c>
      <c r="Y38" s="7" t="n">
        <f aca="false">IF(Y$3=Hypothèses!$C$43,MAX(0,Y34+Y35-Hypothèses!$C$8-Hypothèses!$C$10+Hypothèses!$C$49*Y37),0)</f>
        <v>0</v>
      </c>
      <c r="Z38" s="7" t="n">
        <f aca="false">IF(Z$3=Hypothèses!$C$43,MAX(0,Z34+Z35-Hypothèses!$C$8-Hypothèses!$C$10+Hypothèses!$C$49*Z37),0)</f>
        <v>0</v>
      </c>
      <c r="AA38" s="7" t="n">
        <f aca="false">IF(AA$3=Hypothèses!$C$43,MAX(0,AA34+AA35-Hypothèses!$C$8-Hypothèses!$C$10+Hypothèses!$C$49*AA37),0)</f>
        <v>0</v>
      </c>
    </row>
    <row r="39" customFormat="false" ht="15" hidden="false" customHeight="false" outlineLevel="0" collapsed="false">
      <c r="A39" s="6" t="s">
        <v>142</v>
      </c>
      <c r="B39" s="20"/>
      <c r="C39" s="7" t="n">
        <f aca="false">-(C38*(1-Hypothèses!$C$47)*Hypothèses!$C$46+C38*(1-Hypothèses!$C$48)*Hypothèses!$C$37)</f>
        <v>-0</v>
      </c>
      <c r="D39" s="7" t="n">
        <f aca="false">-(D38*(1-Hypothèses!$C$47)*Hypothèses!$C$46+D38*(1-Hypothèses!$C$48)*Hypothèses!$C$37)</f>
        <v>-0</v>
      </c>
      <c r="E39" s="7" t="n">
        <f aca="false">-(E38*(1-Hypothèses!$C$47)*Hypothèses!$C$46+E38*(1-Hypothèses!$C$48)*Hypothèses!$C$37)</f>
        <v>-0</v>
      </c>
      <c r="F39" s="7" t="n">
        <f aca="false">-(F38*(1-Hypothèses!$C$47)*Hypothèses!$C$46+F38*(1-Hypothèses!$C$48)*Hypothèses!$C$37)</f>
        <v>-0</v>
      </c>
      <c r="G39" s="7" t="n">
        <f aca="false">-(G38*(1-Hypothèses!$C$47)*Hypothèses!$C$46+G38*(1-Hypothèses!$C$48)*Hypothèses!$C$37)</f>
        <v>-0</v>
      </c>
      <c r="H39" s="7" t="n">
        <f aca="false">-(H38*(1-Hypothèses!$C$47)*Hypothèses!$C$46+H38*(1-Hypothèses!$C$48)*Hypothèses!$C$37)</f>
        <v>-0</v>
      </c>
      <c r="I39" s="7" t="n">
        <f aca="false">-(I38*(1-Hypothèses!$C$47)*Hypothèses!$C$46+I38*(1-Hypothèses!$C$48)*Hypothèses!$C$37)</f>
        <v>-0</v>
      </c>
      <c r="J39" s="7" t="n">
        <f aca="false">-(J38*(1-Hypothèses!$C$47)*Hypothèses!$C$46+J38*(1-Hypothèses!$C$48)*Hypothèses!$C$37)</f>
        <v>-0</v>
      </c>
      <c r="K39" s="7" t="n">
        <f aca="false">-(K38*(1-Hypothèses!$C$47)*Hypothèses!$C$46+K38*(1-Hypothèses!$C$48)*Hypothèses!$C$37)</f>
        <v>-0</v>
      </c>
      <c r="L39" s="7" t="n">
        <f aca="false">-(L38*(1-Hypothèses!$C$47)*Hypothèses!$C$46+L38*(1-Hypothèses!$C$48)*Hypothèses!$C$37)</f>
        <v>-0</v>
      </c>
      <c r="M39" s="7" t="n">
        <f aca="false">-(M38*(1-Hypothèses!$C$47)*Hypothèses!$C$46+M38*(1-Hypothèses!$C$48)*Hypothèses!$C$37)</f>
        <v>-0</v>
      </c>
      <c r="N39" s="7" t="n">
        <f aca="false">-(N38*(1-Hypothèses!$C$47)*Hypothèses!$C$46+N38*(1-Hypothèses!$C$48)*Hypothèses!$C$37)</f>
        <v>-0</v>
      </c>
      <c r="O39" s="7" t="n">
        <f aca="false">-(O38*(1-Hypothèses!$C$47)*Hypothèses!$C$46+O38*(1-Hypothèses!$C$48)*Hypothèses!$C$37)</f>
        <v>-0</v>
      </c>
      <c r="P39" s="7" t="n">
        <f aca="false">-(P38*(1-Hypothèses!$C$47)*Hypothèses!$C$46+P38*(1-Hypothèses!$C$48)*Hypothèses!$C$37)</f>
        <v>-0</v>
      </c>
      <c r="Q39" s="7" t="n">
        <f aca="false">-(Q38*(1-Hypothèses!$C$47)*Hypothèses!$C$46+Q38*(1-Hypothèses!$C$48)*Hypothèses!$C$37)</f>
        <v>-0</v>
      </c>
      <c r="R39" s="7" t="n">
        <f aca="false">-(R38*(1-Hypothèses!$C$47)*Hypothèses!$C$46+R38*(1-Hypothèses!$C$48)*Hypothèses!$C$37)</f>
        <v>-0</v>
      </c>
      <c r="S39" s="7" t="n">
        <f aca="false">-(S38*(1-Hypothèses!$C$47)*Hypothèses!$C$46+S38*(1-Hypothèses!$C$48)*Hypothèses!$C$37)</f>
        <v>-0</v>
      </c>
      <c r="T39" s="7" t="n">
        <f aca="false">-(T38*(1-Hypothèses!$C$47)*Hypothèses!$C$46+T38*(1-Hypothèses!$C$48)*Hypothèses!$C$37)</f>
        <v>-0</v>
      </c>
      <c r="U39" s="7" t="n">
        <f aca="false">-(U38*(1-Hypothèses!$C$47)*Hypothèses!$C$46+U38*(1-Hypothèses!$C$48)*Hypothèses!$C$37)</f>
        <v>-0</v>
      </c>
      <c r="V39" s="7" t="n">
        <f aca="false">-(V38*(1-Hypothèses!$C$47)*Hypothèses!$C$46+V38*(1-Hypothèses!$C$48)*Hypothèses!$C$37)</f>
        <v>-39659.3564309342</v>
      </c>
      <c r="W39" s="7" t="n">
        <f aca="false">-(W38*(1-Hypothèses!$C$47)*Hypothèses!$C$46+W38*(1-Hypothèses!$C$48)*Hypothèses!$C$37)</f>
        <v>-0</v>
      </c>
      <c r="X39" s="7" t="n">
        <f aca="false">-(X38*(1-Hypothèses!$C$47)*Hypothèses!$C$46+X38*(1-Hypothèses!$C$48)*Hypothèses!$C$37)</f>
        <v>-0</v>
      </c>
      <c r="Y39" s="7" t="n">
        <f aca="false">-(Y38*(1-Hypothèses!$C$47)*Hypothèses!$C$46+Y38*(1-Hypothèses!$C$48)*Hypothèses!$C$37)</f>
        <v>-0</v>
      </c>
      <c r="Z39" s="7" t="n">
        <f aca="false">-(Z38*(1-Hypothèses!$C$47)*Hypothèses!$C$46+Z38*(1-Hypothèses!$C$48)*Hypothèses!$C$37)</f>
        <v>-0</v>
      </c>
      <c r="AA39" s="7" t="n">
        <f aca="false">-(AA38*(1-Hypothèses!$C$47)*Hypothèses!$C$46+AA38*(1-Hypothèses!$C$48)*Hypothèses!$C$37)</f>
        <v>-0</v>
      </c>
    </row>
    <row r="40" customFormat="false" ht="15" hidden="false" customHeight="false" outlineLevel="0" collapsed="false">
      <c r="A40" s="13" t="s">
        <v>143</v>
      </c>
      <c r="B40" s="33"/>
      <c r="C40" s="33" t="n">
        <f aca="false">C34+C35+C36+C39</f>
        <v>0</v>
      </c>
      <c r="D40" s="33" t="n">
        <f aca="false">D34+D35+D36+D39</f>
        <v>0</v>
      </c>
      <c r="E40" s="33" t="n">
        <f aca="false">E34+E35+E36+E39</f>
        <v>0</v>
      </c>
      <c r="F40" s="33" t="n">
        <f aca="false">F34+F35+F36+F39</f>
        <v>0</v>
      </c>
      <c r="G40" s="33" t="n">
        <f aca="false">G34+G35+G36+G39</f>
        <v>0</v>
      </c>
      <c r="H40" s="33" t="n">
        <f aca="false">H34+H35+H36+H39</f>
        <v>0</v>
      </c>
      <c r="I40" s="33" t="n">
        <f aca="false">I34+I35+I36+I39</f>
        <v>0</v>
      </c>
      <c r="J40" s="33" t="n">
        <f aca="false">J34+J35+J36+J39</f>
        <v>0</v>
      </c>
      <c r="K40" s="33" t="n">
        <f aca="false">K34+K35+K36+K39</f>
        <v>0</v>
      </c>
      <c r="L40" s="33" t="n">
        <f aca="false">L34+L35+L36+L39</f>
        <v>0</v>
      </c>
      <c r="M40" s="33" t="n">
        <f aca="false">M34+M35+M36+M39</f>
        <v>0</v>
      </c>
      <c r="N40" s="33" t="n">
        <f aca="false">N34+N35+N36+N39</f>
        <v>0</v>
      </c>
      <c r="O40" s="33" t="n">
        <f aca="false">O34+O35+O36+O39</f>
        <v>0</v>
      </c>
      <c r="P40" s="33" t="n">
        <f aca="false">P34+P35+P36+P39</f>
        <v>0</v>
      </c>
      <c r="Q40" s="33" t="n">
        <f aca="false">Q34+Q35+Q36+Q39</f>
        <v>0</v>
      </c>
      <c r="R40" s="33" t="n">
        <f aca="false">R34+R35+R36+R39</f>
        <v>0</v>
      </c>
      <c r="S40" s="33" t="n">
        <f aca="false">S34+S35+S36+S39</f>
        <v>0</v>
      </c>
      <c r="T40" s="33" t="n">
        <f aca="false">T34+T35+T36+T39</f>
        <v>0</v>
      </c>
      <c r="U40" s="33" t="n">
        <f aca="false">U34+U35+U36+U39</f>
        <v>0</v>
      </c>
      <c r="V40" s="33" t="n">
        <f aca="false">V34+V35+V36+V39</f>
        <v>382259.815455434</v>
      </c>
      <c r="W40" s="33" t="n">
        <f aca="false">W34+W35+W36+W39</f>
        <v>0</v>
      </c>
      <c r="X40" s="33" t="n">
        <f aca="false">X34+X35+X36+X39</f>
        <v>0</v>
      </c>
      <c r="Y40" s="33" t="n">
        <f aca="false">Y34+Y35+Y36+Y39</f>
        <v>0</v>
      </c>
      <c r="Z40" s="33" t="n">
        <f aca="false">Z34+Z35+Z36+Z39</f>
        <v>0</v>
      </c>
      <c r="AA40" s="33" t="n">
        <f aca="false">AA34+AA35+AA36+AA39</f>
        <v>0</v>
      </c>
    </row>
    <row r="41" customFormat="false" ht="15" hidden="false" customHeight="false" outlineLevel="0" collapsed="false">
      <c r="A41" s="4" t="s">
        <v>144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customFormat="false" ht="15" hidden="false" customHeight="false" outlineLevel="0" collapsed="false">
      <c r="A42" s="13" t="s">
        <v>145</v>
      </c>
      <c r="B42" s="34" t="n">
        <f aca="false">-Hypothèses!$C$20</f>
        <v>-92224</v>
      </c>
      <c r="C42" s="33" t="n">
        <f aca="false">C4*(C32+C40)</f>
        <v>-11638.5685725772</v>
      </c>
      <c r="D42" s="33" t="n">
        <f aca="false">D4*(D32+D40)</f>
        <v>-11504.8674525772</v>
      </c>
      <c r="E42" s="33" t="n">
        <f aca="false">E4*(E32+E40)</f>
        <v>-11369.5208157772</v>
      </c>
      <c r="F42" s="33" t="n">
        <f aca="false">F4*(F32+F40)</f>
        <v>-11232.5111794252</v>
      </c>
      <c r="G42" s="33" t="n">
        <f aca="false">G4*(G32+G40)</f>
        <v>-11093.820942528</v>
      </c>
      <c r="H42" s="33" t="n">
        <f aca="false">H4*(H32+H40)</f>
        <v>-10953.4323869572</v>
      </c>
      <c r="I42" s="33" t="n">
        <f aca="false">I4*(I32+I40)</f>
        <v>-10811.3276786305</v>
      </c>
      <c r="J42" s="33" t="n">
        <f aca="false">J4*(J32+J40)</f>
        <v>-10667.4888687681</v>
      </c>
      <c r="K42" s="33" t="n">
        <f aca="false">K4*(K32+K40)</f>
        <v>-10521.8978952286</v>
      </c>
      <c r="L42" s="33" t="n">
        <f aca="false">L4*(L32+L40)</f>
        <v>-10374.5365839264</v>
      </c>
      <c r="M42" s="33" t="n">
        <f aca="false">M4*(M32+M40)</f>
        <v>-10225.3866503319</v>
      </c>
      <c r="N42" s="33" t="n">
        <f aca="false">N4*(N32+N40)</f>
        <v>-10074.4297010581</v>
      </c>
      <c r="O42" s="33" t="n">
        <f aca="false">O4*(O32+O40)</f>
        <v>-9921.64723553643</v>
      </c>
      <c r="P42" s="33" t="n">
        <f aca="false">P4*(P32+P40)</f>
        <v>-9767.02064778295</v>
      </c>
      <c r="Q42" s="33" t="n">
        <f aca="false">Q4*(Q32+Q40)</f>
        <v>-9610.5312282592</v>
      </c>
      <c r="R42" s="33" t="n">
        <f aca="false">R4*(R32+R40)</f>
        <v>-9452.16016582956</v>
      </c>
      <c r="S42" s="33" t="n">
        <f aca="false">S4*(S32+S40)</f>
        <v>-9291.88854981818</v>
      </c>
      <c r="T42" s="33" t="n">
        <f aca="false">T4*(T32+T40)</f>
        <v>-9129.69737216843</v>
      </c>
      <c r="U42" s="33" t="n">
        <f aca="false">U4*(U32+U40)</f>
        <v>-8965.56752970777</v>
      </c>
      <c r="V42" s="33" t="n">
        <f aca="false">V4*(V32+V40)</f>
        <v>373460.335628913</v>
      </c>
      <c r="W42" s="33" t="n">
        <f aca="false">W4*(W32+W40)</f>
        <v>-0</v>
      </c>
      <c r="X42" s="33" t="n">
        <f aca="false">X4*(X32+X40)</f>
        <v>-0</v>
      </c>
      <c r="Y42" s="33" t="n">
        <f aca="false">Y4*(Y32+Y40)</f>
        <v>-0</v>
      </c>
      <c r="Z42" s="33" t="n">
        <f aca="false">Z4*(Z32+Z40)</f>
        <v>-0</v>
      </c>
      <c r="AA42" s="33" t="n">
        <f aca="false">AA4*(AA32+AA40)</f>
        <v>-0</v>
      </c>
    </row>
    <row r="43" customFormat="false" ht="15" hidden="false" customHeight="false" outlineLevel="0" collapsed="false">
      <c r="A43" s="6" t="s">
        <v>146</v>
      </c>
      <c r="B43" s="20" t="n">
        <f aca="false">B42</f>
        <v>-92224</v>
      </c>
      <c r="C43" s="20" t="n">
        <f aca="false">B43+C42</f>
        <v>-103862.568572577</v>
      </c>
      <c r="D43" s="20" t="n">
        <f aca="false">C43+D42</f>
        <v>-115367.436025154</v>
      </c>
      <c r="E43" s="20" t="n">
        <f aca="false">D43+E42</f>
        <v>-126736.956840932</v>
      </c>
      <c r="F43" s="20" t="n">
        <f aca="false">E43+F42</f>
        <v>-137969.468020357</v>
      </c>
      <c r="G43" s="20" t="n">
        <f aca="false">F43+G42</f>
        <v>-149063.288962885</v>
      </c>
      <c r="H43" s="20" t="n">
        <f aca="false">G43+H42</f>
        <v>-160016.721349842</v>
      </c>
      <c r="I43" s="20" t="n">
        <f aca="false">H43+I42</f>
        <v>-170828.049028473</v>
      </c>
      <c r="J43" s="20" t="n">
        <f aca="false">I43+J42</f>
        <v>-181495.537897241</v>
      </c>
      <c r="K43" s="20" t="n">
        <f aca="false">J43+K42</f>
        <v>-192017.435792469</v>
      </c>
      <c r="L43" s="20" t="n">
        <f aca="false">K43+L42</f>
        <v>-202391.972376396</v>
      </c>
      <c r="M43" s="20" t="n">
        <f aca="false">L43+M42</f>
        <v>-212617.359026728</v>
      </c>
      <c r="N43" s="20" t="n">
        <f aca="false">M43+N42</f>
        <v>-222691.788727786</v>
      </c>
      <c r="O43" s="20" t="n">
        <f aca="false">N43+O42</f>
        <v>-232613.435963322</v>
      </c>
      <c r="P43" s="20" t="n">
        <f aca="false">O43+P42</f>
        <v>-242380.456611105</v>
      </c>
      <c r="Q43" s="20" t="n">
        <f aca="false">P43+Q42</f>
        <v>-251990.987839364</v>
      </c>
      <c r="R43" s="20" t="n">
        <f aca="false">Q43+R42</f>
        <v>-261443.148005194</v>
      </c>
      <c r="S43" s="20" t="n">
        <f aca="false">R43+S42</f>
        <v>-270735.036555012</v>
      </c>
      <c r="T43" s="20" t="n">
        <f aca="false">S43+T42</f>
        <v>-279864.733927181</v>
      </c>
      <c r="U43" s="20" t="n">
        <f aca="false">T43+U42</f>
        <v>-288830.301456888</v>
      </c>
      <c r="V43" s="20" t="n">
        <f aca="false">U43+V42</f>
        <v>84630.0341720246</v>
      </c>
      <c r="W43" s="20" t="n">
        <f aca="false">V43+W42</f>
        <v>84630.0341720246</v>
      </c>
      <c r="X43" s="20" t="n">
        <f aca="false">W43+X42</f>
        <v>84630.0341720246</v>
      </c>
      <c r="Y43" s="20" t="n">
        <f aca="false">X43+Y42</f>
        <v>84630.0341720246</v>
      </c>
      <c r="Z43" s="20" t="n">
        <f aca="false">Y43+Z42</f>
        <v>84630.0341720246</v>
      </c>
      <c r="AA43" s="20" t="n">
        <f aca="false">Z43+AA42</f>
        <v>84630.0341720246</v>
      </c>
    </row>
  </sheetData>
  <conditionalFormatting sqref="C5:AA43">
    <cfRule type="expression" priority="2" aboveAverage="0" equalAverage="0" bottom="0" percent="0" rank="0" text="" dxfId="0">
      <formula>C$4=0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2026-10-03T20:12:39Z</dcterms:created>
  <dc:creator>openpyxl</dc:creator>
  <dc:description/>
  <dc:language>en-US</dc:language>
  <cp:lastModifiedBy/>
  <dcterms:modified xsi:type="dcterms:W3CDTF">2026-10-03T20:12:42Z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